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_VSCode_IABD\SistemaAprendizajeAutomatico\Practica\TrabajoFinal\"/>
    </mc:Choice>
  </mc:AlternateContent>
  <xr:revisionPtr revIDLastSave="0" documentId="13_ncr:1_{E1773A65-E449-4F7D-9594-AFC19A2AA87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Original" sheetId="1" r:id="rId1"/>
    <sheet name="Model" sheetId="3" r:id="rId2"/>
    <sheet name="Ensamble" sheetId="2" r:id="rId3"/>
    <sheet name="RegresionLogistica" sheetId="4" r:id="rId4"/>
    <sheet name="Deepnet" sheetId="5" r:id="rId5"/>
    <sheet name="Optiml" sheetId="6" r:id="rId6"/>
    <sheet name="Cluster" sheetId="8" r:id="rId7"/>
    <sheet name="Anomaly" sheetId="9" r:id="rId8"/>
    <sheet name="Asociacion" sheetId="7" r:id="rId9"/>
    <sheet name="PCA" sheetId="10" r:id="rId10"/>
  </sheets>
  <definedNames>
    <definedName name="DatosExternos_1" localSheetId="7" hidden="1">Anomaly!$A$1:$N$78</definedName>
    <definedName name="DatosExternos_1" localSheetId="8" hidden="1">Asociacion!$A$1:$N$8</definedName>
    <definedName name="DatosExternos_1" localSheetId="6" hidden="1">'Cluster'!$A$1:$N$78</definedName>
    <definedName name="DatosExternos_1" localSheetId="4" hidden="1">Deepnet!$A$1:$N$78</definedName>
    <definedName name="DatosExternos_1" localSheetId="2" hidden="1">Ensamble!$A$1:$N$78</definedName>
    <definedName name="DatosExternos_1" localSheetId="1" hidden="1">Model!$A$1:$N$78</definedName>
    <definedName name="DatosExternos_1" localSheetId="5" hidden="1">Optiml!$A$1:$N$78</definedName>
    <definedName name="DatosExternos_1" localSheetId="9" hidden="1">PCA!$A$1:$AR$78</definedName>
    <definedName name="DatosExternos_1" localSheetId="3" hidden="1">'RegresionLogistica'!$A$1:$N$78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6" l="1"/>
  <c r="Q2" i="6" s="1"/>
  <c r="R2" i="6" s="1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2" i="5"/>
  <c r="O3" i="5"/>
  <c r="O4" i="5"/>
  <c r="O5" i="5"/>
  <c r="O6" i="5"/>
  <c r="O7" i="5"/>
  <c r="Q2" i="5" s="1"/>
  <c r="R2" i="5" s="1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2" i="4"/>
  <c r="Q2" i="4" s="1"/>
  <c r="R2" i="4" s="1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2" i="2"/>
  <c r="O3" i="2"/>
  <c r="O4" i="2"/>
  <c r="O5" i="2"/>
  <c r="O6" i="2"/>
  <c r="O7" i="2"/>
  <c r="Q2" i="2" s="1"/>
  <c r="R2" i="2" s="1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R2" i="3"/>
  <c r="Q2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5F7AF3-784B-4EA2-B027-01DD3279A40A}" keepAlive="1" name="Consulta - anomaly" description="Conexión a la consulta 'anomaly' en el libro." type="5" refreshedVersion="7" background="1" saveData="1">
    <dbPr connection="Provider=Microsoft.Mashup.OleDb.1;Data Source=$Workbook$;Location=anomaly;Extended Properties=&quot;&quot;" command="SELECT * FROM [anomaly]"/>
  </connection>
  <connection id="2" xr16:uid="{9FF27CC9-7D6F-47B1-BC12-3DFF0938E900}" keepAlive="1" name="Consulta - asociacion" description="Conexión a la consulta 'asociacion' en el libro." type="5" refreshedVersion="7" background="1" saveData="1">
    <dbPr connection="Provider=Microsoft.Mashup.OleDb.1;Data Source=$Workbook$;Location=asociacion;Extended Properties=&quot;&quot;" command="SELECT * FROM [asociacion]"/>
  </connection>
  <connection id="3" xr16:uid="{B4F090A0-17C2-475E-B75D-8A924BE09326}" keepAlive="1" name="Consulta - cluster" description="Conexión a la consulta 'cluster' en el libro." type="5" refreshedVersion="7" background="1" saveData="1">
    <dbPr connection="Provider=Microsoft.Mashup.OleDb.1;Data Source=$Workbook$;Location=cluster;Extended Properties=&quot;&quot;" command="SELECT * FROM [cluster]"/>
  </connection>
  <connection id="4" xr16:uid="{0D441057-D965-4A3F-8395-90EE088A00A6}" keepAlive="1" name="Consulta - deepnet" description="Conexión a la consulta 'deepnet' en el libro." type="5" refreshedVersion="7" background="1" saveData="1">
    <dbPr connection="Provider=Microsoft.Mashup.OleDb.1;Data Source=$Workbook$;Location=deepnet;Extended Properties=&quot;&quot;" command="SELECT * FROM [deepnet]"/>
  </connection>
  <connection id="5" xr16:uid="{91879397-5D5C-4420-ABD0-7036F16D172C}" keepAlive="1" name="Consulta - ensamble" description="Conexión a la consulta 'ensamble' en el libro." type="5" refreshedVersion="7" background="1" saveData="1">
    <dbPr connection="Provider=Microsoft.Mashup.OleDb.1;Data Source=$Workbook$;Location=ensamble;Extended Properties=&quot;&quot;" command="SELECT * FROM [ensamble]"/>
  </connection>
  <connection id="6" xr16:uid="{19FD9F5E-A291-4628-A4A6-EE3930A2D664}" keepAlive="1" name="Consulta - model" description="Conexión a la consulta 'model' en el libro." type="5" refreshedVersion="7" background="1" saveData="1">
    <dbPr connection="Provider=Microsoft.Mashup.OleDb.1;Data Source=$Workbook$;Location=model;Extended Properties=&quot;&quot;" command="SELECT * FROM [model]"/>
  </connection>
  <connection id="7" xr16:uid="{421FF2DE-5322-45A2-A704-134DA426FAA2}" keepAlive="1" name="Consulta - optiml" description="Conexión a la consulta 'optiml' en el libro." type="5" refreshedVersion="7" background="1" saveData="1">
    <dbPr connection="Provider=Microsoft.Mashup.OleDb.1;Data Source=$Workbook$;Location=optiml;Extended Properties=&quot;&quot;" command="SELECT * FROM [optiml]"/>
  </connection>
  <connection id="8" xr16:uid="{3AB40D8E-0DFB-4710-A309-2055BDF86F10}" keepAlive="1" name="Consulta - pca" description="Conexión a la consulta 'pca' en el libro." type="5" refreshedVersion="7" background="1" saveData="1">
    <dbPr connection="Provider=Microsoft.Mashup.OleDb.1;Data Source=$Workbook$;Location=pca;Extended Properties=&quot;&quot;" command="SELECT * FROM [pca]"/>
  </connection>
  <connection id="9" xr16:uid="{93F7D27E-6A69-4C48-BC18-7E1169F8490F}" keepAlive="1" name="Consulta - regresionLogistica" description="Conexión a la consulta 'regresionLogistica' en el libro." type="5" refreshedVersion="7" background="1" saveData="1">
    <dbPr connection="Provider=Microsoft.Mashup.OleDb.1;Data Source=$Workbook$;Location=regresionLogistica;Extended Properties=&quot;&quot;" command="SELECT * FROM [regresionLogistica]"/>
  </connection>
</connections>
</file>

<file path=xl/sharedStrings.xml><?xml version="1.0" encoding="utf-8"?>
<sst xmlns="http://schemas.openxmlformats.org/spreadsheetml/2006/main" count="12659" uniqueCount="123">
  <si>
    <t>Age</t>
  </si>
  <si>
    <t>Gender</t>
  </si>
  <si>
    <t>Hx Radiothreapy</t>
  </si>
  <si>
    <t>Adenopathy</t>
  </si>
  <si>
    <t>Pathology</t>
  </si>
  <si>
    <t>Focality</t>
  </si>
  <si>
    <t>Risk</t>
  </si>
  <si>
    <t>T</t>
  </si>
  <si>
    <t>N</t>
  </si>
  <si>
    <t>M</t>
  </si>
  <si>
    <t>Stage</t>
  </si>
  <si>
    <t>Response</t>
  </si>
  <si>
    <t>Recurred</t>
  </si>
  <si>
    <t>F</t>
  </si>
  <si>
    <t>No</t>
  </si>
  <si>
    <t>Bilateral</t>
  </si>
  <si>
    <t>Papillary</t>
  </si>
  <si>
    <t>Multi-Focal</t>
  </si>
  <si>
    <t>Intermediate</t>
  </si>
  <si>
    <t>T3a</t>
  </si>
  <si>
    <t>N1b</t>
  </si>
  <si>
    <t>M0</t>
  </si>
  <si>
    <t>I</t>
  </si>
  <si>
    <t>Structural Incomplete</t>
  </si>
  <si>
    <t>Yes</t>
  </si>
  <si>
    <t>Uni-Focal</t>
  </si>
  <si>
    <t>High</t>
  </si>
  <si>
    <t>T2</t>
  </si>
  <si>
    <t>N0</t>
  </si>
  <si>
    <t>Ordenado por:</t>
  </si>
  <si>
    <t>Right</t>
  </si>
  <si>
    <t>Indeterminate</t>
  </si>
  <si>
    <t>Orden:</t>
  </si>
  <si>
    <t>Low</t>
  </si>
  <si>
    <t>T1b</t>
  </si>
  <si>
    <t>Excellent</t>
  </si>
  <si>
    <t>N1a</t>
  </si>
  <si>
    <t>Micropapillary</t>
  </si>
  <si>
    <t>T1a</t>
  </si>
  <si>
    <t>T3b</t>
  </si>
  <si>
    <t>Left</t>
  </si>
  <si>
    <t>Biochemical Incomplete</t>
  </si>
  <si>
    <t>Follicular</t>
  </si>
  <si>
    <t>Hurthel cell</t>
  </si>
  <si>
    <t>T4a</t>
  </si>
  <si>
    <t>Extensive</t>
  </si>
  <si>
    <t>M1</t>
  </si>
  <si>
    <t>II</t>
  </si>
  <si>
    <t>Posterior</t>
  </si>
  <si>
    <t>T4b</t>
  </si>
  <si>
    <t>IVB</t>
  </si>
  <si>
    <t>IVA</t>
  </si>
  <si>
    <t>III</t>
  </si>
  <si>
    <t>Ascendente (A→Z)</t>
  </si>
  <si>
    <t>Resultado</t>
  </si>
  <si>
    <t>Response_1</t>
  </si>
  <si>
    <t>Recurred_1</t>
  </si>
  <si>
    <t>TOTAL SI</t>
  </si>
  <si>
    <t>% aciertos</t>
  </si>
  <si>
    <t>Pathology_1</t>
  </si>
  <si>
    <t>Focality = Uni-Focal</t>
  </si>
  <si>
    <t>N = N0</t>
  </si>
  <si>
    <t>000030</t>
  </si>
  <si>
    <t>Response = Excellent</t>
  </si>
  <si>
    <t>000018</t>
  </si>
  <si>
    <t>Adenopathy = No</t>
  </si>
  <si>
    <t>000003</t>
  </si>
  <si>
    <t>Recurred = No</t>
  </si>
  <si>
    <t>000013</t>
  </si>
  <si>
    <t>Stage = I &amp; N = N0</t>
  </si>
  <si>
    <t>00000d</t>
  </si>
  <si>
    <t>Risk = Low</t>
  </si>
  <si>
    <t>000008</t>
  </si>
  <si>
    <t>000000</t>
  </si>
  <si>
    <t>Consequent score</t>
  </si>
  <si>
    <t>Consequent Coverage</t>
  </si>
  <si>
    <t>Consequent Coverage %</t>
  </si>
  <si>
    <t>p-value</t>
  </si>
  <si>
    <t>Lift</t>
  </si>
  <si>
    <t>Leverage</t>
  </si>
  <si>
    <t>Confidence</t>
  </si>
  <si>
    <t>Support</t>
  </si>
  <si>
    <t>Support %</t>
  </si>
  <si>
    <t>Antecedent Coverage</t>
  </si>
  <si>
    <t>Antecedent Coverage %</t>
  </si>
  <si>
    <t>Consequent</t>
  </si>
  <si>
    <t>Antecedent</t>
  </si>
  <si>
    <t>Rule ID</t>
  </si>
  <si>
    <t>Cluster 1</t>
  </si>
  <si>
    <t>Cluster 0</t>
  </si>
  <si>
    <t>cluster</t>
  </si>
  <si>
    <t>score</t>
  </si>
  <si>
    <t>PC31</t>
  </si>
  <si>
    <t>PC30</t>
  </si>
  <si>
    <t>PC29</t>
  </si>
  <si>
    <t>PC28</t>
  </si>
  <si>
    <t>PC27</t>
  </si>
  <si>
    <t>PC26</t>
  </si>
  <si>
    <t>PC25</t>
  </si>
  <si>
    <t>PC24</t>
  </si>
  <si>
    <t>PC23</t>
  </si>
  <si>
    <t>PC22</t>
  </si>
  <si>
    <t>PC21</t>
  </si>
  <si>
    <t>PC20</t>
  </si>
  <si>
    <t>PC19</t>
  </si>
  <si>
    <t>PC18</t>
  </si>
  <si>
    <t>PC17</t>
  </si>
  <si>
    <t>PC16</t>
  </si>
  <si>
    <t>PC15</t>
  </si>
  <si>
    <t>PC14</t>
  </si>
  <si>
    <t>PC13</t>
  </si>
  <si>
    <t>PC12</t>
  </si>
  <si>
    <t>PC11</t>
  </si>
  <si>
    <t>PC10</t>
  </si>
  <si>
    <t>PC9</t>
  </si>
  <si>
    <t>PC8</t>
  </si>
  <si>
    <t>PC7</t>
  </si>
  <si>
    <t>PC6</t>
  </si>
  <si>
    <t>PC5</t>
  </si>
  <si>
    <t>PC4</t>
  </si>
  <si>
    <t>PC3</t>
  </si>
  <si>
    <t>PC2</t>
  </si>
  <si>
    <t>PC1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</si>
</sst>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10" xfId="0" applyFill="1" applyBorder="1"/>
    <xf numFmtId="0" fontId="18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E58D33B8-A924-473F-93BC-B8ABDCE4CFD8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curred_1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06C5A6E5-D4AA-4F12-897A-234749A9DDE3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sponse_1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9" xr16:uid="{4CD43C7B-E555-48A4-B342-357CE5B39875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sponse_1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CB49FE75-0F45-46DD-842E-5EB39DF7C8E4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curred_1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E32F6C19-8C9F-4741-9575-FC2E71B08E7A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Pathology_1" tableColumnId="14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E206EAD1-DF0E-499C-9542-8C09E3E4195E}" autoFormatId="16" applyNumberFormats="0" applyBorderFormats="0" applyFontFormats="0" applyPatternFormats="0" applyAlignmentFormats="0" applyWidthHeightFormats="0">
  <queryTableRefresh nextId="15">
    <queryTableFields count="14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cluster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2D47EEC-DD6F-4F6E-AB94-66A964D1AFA7}" autoFormatId="16" applyNumberFormats="0" applyBorderFormats="0" applyFontFormats="0" applyPatternFormats="0" applyAlignmentFormats="0" applyWidthHeightFormats="0">
  <queryTableRefresh nextId="15">
    <queryTableFields count="14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score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78FB7ED3-853D-4585-A635-FCDA47943F1A}" autoFormatId="16" applyNumberFormats="0" applyBorderFormats="0" applyFontFormats="0" applyPatternFormats="0" applyAlignmentFormats="0" applyWidthHeightFormats="0">
  <queryTableRefresh nextId="15">
    <queryTableFields count="14">
      <queryTableField id="1" name="Rule ID" tableColumnId="1"/>
      <queryTableField id="2" name="Antecedent" tableColumnId="2"/>
      <queryTableField id="3" name="Consequent" tableColumnId="3"/>
      <queryTableField id="4" name="Antecedent Coverage %" tableColumnId="4"/>
      <queryTableField id="5" name="Antecedent Coverage" tableColumnId="5"/>
      <queryTableField id="6" name="Support %" tableColumnId="6"/>
      <queryTableField id="7" name="Support" tableColumnId="7"/>
      <queryTableField id="8" name="Confidence" tableColumnId="8"/>
      <queryTableField id="9" name="Leverage" tableColumnId="9"/>
      <queryTableField id="10" name="Lift" tableColumnId="10"/>
      <queryTableField id="11" name="p-value" tableColumnId="11"/>
      <queryTableField id="12" name="Consequent Coverage %" tableColumnId="12"/>
      <queryTableField id="13" name="Consequent Coverage" tableColumnId="13"/>
      <queryTableField id="14" name="Consequent score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B9F6C265-77DD-4B93-945C-82E10635EB7C}" autoFormatId="16" applyNumberFormats="0" applyBorderFormats="0" applyFontFormats="0" applyPatternFormats="0" applyAlignmentFormats="0" applyWidthHeightFormats="0">
  <queryTableRefresh nextId="45">
    <queryTableFields count="44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PC1" tableColumnId="14"/>
      <queryTableField id="15" name="PC2" tableColumnId="15"/>
      <queryTableField id="16" name="PC3" tableColumnId="16"/>
      <queryTableField id="17" name="PC4" tableColumnId="17"/>
      <queryTableField id="18" name="PC5" tableColumnId="18"/>
      <queryTableField id="19" name="PC6" tableColumnId="19"/>
      <queryTableField id="20" name="PC7" tableColumnId="20"/>
      <queryTableField id="21" name="PC8" tableColumnId="21"/>
      <queryTableField id="22" name="PC9" tableColumnId="22"/>
      <queryTableField id="23" name="PC10" tableColumnId="23"/>
      <queryTableField id="24" name="PC11" tableColumnId="24"/>
      <queryTableField id="25" name="PC12" tableColumnId="25"/>
      <queryTableField id="26" name="PC13" tableColumnId="26"/>
      <queryTableField id="27" name="PC14" tableColumnId="27"/>
      <queryTableField id="28" name="PC15" tableColumnId="28"/>
      <queryTableField id="29" name="PC16" tableColumnId="29"/>
      <queryTableField id="30" name="PC17" tableColumnId="30"/>
      <queryTableField id="31" name="PC18" tableColumnId="31"/>
      <queryTableField id="32" name="PC19" tableColumnId="32"/>
      <queryTableField id="33" name="PC20" tableColumnId="33"/>
      <queryTableField id="34" name="PC21" tableColumnId="34"/>
      <queryTableField id="35" name="PC22" tableColumnId="35"/>
      <queryTableField id="36" name="PC23" tableColumnId="36"/>
      <queryTableField id="37" name="PC24" tableColumnId="37"/>
      <queryTableField id="38" name="PC25" tableColumnId="38"/>
      <queryTableField id="39" name="PC26" tableColumnId="39"/>
      <queryTableField id="40" name="PC27" tableColumnId="40"/>
      <queryTableField id="41" name="PC28" tableColumnId="41"/>
      <queryTableField id="42" name="PC29" tableColumnId="42"/>
      <queryTableField id="43" name="PC30" tableColumnId="43"/>
      <queryTableField id="44" name="PC31" tableColumnId="4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526CE-AC4F-418B-8215-55243865E15D}" name="Tabla1" displayName="Tabla1" ref="A1:M384" totalsRowShown="0">
  <autoFilter ref="A1:M384" xr:uid="{7E3526CE-AC4F-418B-8215-55243865E15D}"/>
  <sortState xmlns:xlrd2="http://schemas.microsoft.com/office/spreadsheetml/2017/richdata2" ref="A2:M384">
    <sortCondition ref="A1:A384"/>
  </sortState>
  <tableColumns count="13">
    <tableColumn id="1" xr3:uid="{A622EFBD-CA37-4770-B160-1648FC3D3F28}" name="Age"/>
    <tableColumn id="2" xr3:uid="{15966DA1-F36A-4197-A9EE-07FB797FCF90}" name="Gender"/>
    <tableColumn id="3" xr3:uid="{1036E5AC-304B-422B-9027-4CA27D559639}" name="Hx Radiothreapy"/>
    <tableColumn id="4" xr3:uid="{9F9931B0-E209-4D92-9674-74A47DB7B1EE}" name="Adenopathy"/>
    <tableColumn id="5" xr3:uid="{B6A54681-6386-445A-8DFB-EA1C5A18AF60}" name="Pathology"/>
    <tableColumn id="6" xr3:uid="{7E4F874C-6DB0-4B5E-91FC-ECE0CEA16581}" name="Focality"/>
    <tableColumn id="7" xr3:uid="{3974A8FF-7F39-42C5-ACEA-25A64FB227F9}" name="Risk"/>
    <tableColumn id="8" xr3:uid="{CC24879E-9046-4DDB-8A91-95259E7015ED}" name="T"/>
    <tableColumn id="9" xr3:uid="{BC1ABBF1-64F6-4C24-9549-D06D7AEB99F2}" name="N"/>
    <tableColumn id="10" xr3:uid="{9E7E9C54-5FE0-4E86-A700-CEA423D810C9}" name="M"/>
    <tableColumn id="11" xr3:uid="{D049EB57-7BE3-4864-B7F2-F23396CCAD59}" name="Stage"/>
    <tableColumn id="12" xr3:uid="{94A0C58D-320D-4BAC-B214-947A73006FC0}" name="Response"/>
    <tableColumn id="13" xr3:uid="{371A6D22-1012-42CB-A17B-EEC57FB1641E}" name="Recurr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E67C9D-EEAC-4839-BB4D-C34617C484A5}" name="model" displayName="model" ref="A1:O78" tableType="queryTable" totalsRowShown="0">
  <autoFilter ref="A1:O78" xr:uid="{D88E962A-F76A-448F-848F-8EBFC80DCF6E}"/>
  <tableColumns count="15">
    <tableColumn id="1" xr3:uid="{5068EF97-EA02-4743-8AE2-2811AD9E13FE}" uniqueName="1" name="Age" queryTableFieldId="1"/>
    <tableColumn id="2" xr3:uid="{927CCB89-2441-458D-A7F7-0BB56F5DEA4B}" uniqueName="2" name="Gender" queryTableFieldId="2" dataDxfId="110"/>
    <tableColumn id="3" xr3:uid="{D2332502-1D50-433A-AA9E-68476770A1A2}" uniqueName="3" name="Hx Radiothreapy" queryTableFieldId="3" dataDxfId="109"/>
    <tableColumn id="4" xr3:uid="{2ABCC40B-0A5C-48D4-833A-674A353B495D}" uniqueName="4" name="Adenopathy" queryTableFieldId="4" dataDxfId="108"/>
    <tableColumn id="5" xr3:uid="{2AD30F85-0E73-4F6B-AF6E-DAA943ED9F71}" uniqueName="5" name="Pathology" queryTableFieldId="5" dataDxfId="107"/>
    <tableColumn id="6" xr3:uid="{0B3DAD40-4F77-443A-83FB-9C467B8C330B}" uniqueName="6" name="Focality" queryTableFieldId="6" dataDxfId="106"/>
    <tableColumn id="7" xr3:uid="{ED80C489-2FAC-434E-AC1D-5B5F86277D55}" uniqueName="7" name="Risk" queryTableFieldId="7" dataDxfId="105"/>
    <tableColumn id="8" xr3:uid="{63ABB68E-2992-412E-A0D5-12B4FA643421}" uniqueName="8" name="T" queryTableFieldId="8" dataDxfId="104"/>
    <tableColumn id="9" xr3:uid="{D5F229AA-290B-47B8-97E0-6378AC58BF16}" uniqueName="9" name="N" queryTableFieldId="9" dataDxfId="103"/>
    <tableColumn id="10" xr3:uid="{C5499050-70FD-44BB-9415-861B1F6758B1}" uniqueName="10" name="M" queryTableFieldId="10" dataDxfId="102"/>
    <tableColumn id="11" xr3:uid="{CB75C96A-7661-4095-8621-AD58864977F4}" uniqueName="11" name="Stage" queryTableFieldId="11" dataDxfId="101"/>
    <tableColumn id="12" xr3:uid="{CBE37E99-CA68-484E-9033-8F1AA4787518}" uniqueName="12" name="Response" queryTableFieldId="12" dataDxfId="100"/>
    <tableColumn id="13" xr3:uid="{281AD6D7-EDA3-42F6-A550-E4B11197ECFE}" uniqueName="13" name="Recurred" queryTableFieldId="13" dataDxfId="99"/>
    <tableColumn id="14" xr3:uid="{0A855FAA-E6D6-4859-BBD4-5A1D0B1A4580}" uniqueName="14" name="Recurred_1" queryTableFieldId="14" dataDxfId="98"/>
    <tableColumn id="15" xr3:uid="{52145FB9-4131-4B6F-A97D-035C69112DFC}" uniqueName="15" name="Resultado" queryTableFieldId="15" dataDxfId="97">
      <calculatedColumnFormula>IF(M2=N2,1,"")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442EE9-86E3-4B72-993A-884F3610AA14}" name="ensamble" displayName="ensamble" ref="A1:O78" tableType="queryTable" totalsRowShown="0">
  <autoFilter ref="A1:O78" xr:uid="{F1F261D2-17B3-4037-B02B-F500D95F972E}"/>
  <tableColumns count="15">
    <tableColumn id="1" xr3:uid="{265F6759-F2B3-4A66-9784-96756B3694C1}" uniqueName="1" name="Age" queryTableFieldId="1"/>
    <tableColumn id="2" xr3:uid="{3FDC637D-25D7-4D60-B335-E4125B36301D}" uniqueName="2" name="Gender" queryTableFieldId="2" dataDxfId="96"/>
    <tableColumn id="3" xr3:uid="{5EC1CA89-FE60-4FD6-85BD-7B83F28F34CB}" uniqueName="3" name="Hx Radiothreapy" queryTableFieldId="3" dataDxfId="95"/>
    <tableColumn id="4" xr3:uid="{8C30A182-93E1-4D7D-A3AF-5AF886E108EE}" uniqueName="4" name="Adenopathy" queryTableFieldId="4" dataDxfId="94"/>
    <tableColumn id="5" xr3:uid="{EF08B5E6-1FB9-4596-8562-F9B0102D512A}" uniqueName="5" name="Pathology" queryTableFieldId="5" dataDxfId="93"/>
    <tableColumn id="6" xr3:uid="{1429B167-0EB6-483C-A0EA-25F91E2D6953}" uniqueName="6" name="Focality" queryTableFieldId="6" dataDxfId="92"/>
    <tableColumn id="7" xr3:uid="{563CD701-841A-46EE-BB70-0FDC8857F5E0}" uniqueName="7" name="Risk" queryTableFieldId="7" dataDxfId="91"/>
    <tableColumn id="8" xr3:uid="{254D5A63-AC57-46B8-91EF-3638E7A14750}" uniqueName="8" name="T" queryTableFieldId="8" dataDxfId="90"/>
    <tableColumn id="9" xr3:uid="{A544B4C9-B437-4316-BCDF-023D82625D4D}" uniqueName="9" name="N" queryTableFieldId="9" dataDxfId="89"/>
    <tableColumn id="10" xr3:uid="{FF466ECB-A4FF-4A22-9108-CF1F59243CA5}" uniqueName="10" name="M" queryTableFieldId="10" dataDxfId="88"/>
    <tableColumn id="11" xr3:uid="{1CEE1DB9-8683-4491-B74D-F3130BF59701}" uniqueName="11" name="Stage" queryTableFieldId="11" dataDxfId="87"/>
    <tableColumn id="12" xr3:uid="{66D6C094-19F8-40BF-AC06-570ECD3053BA}" uniqueName="12" name="Response" queryTableFieldId="12" dataDxfId="86"/>
    <tableColumn id="13" xr3:uid="{AD42B795-64BA-4708-94E4-B62A39CB1154}" uniqueName="13" name="Recurred" queryTableFieldId="13" dataDxfId="85"/>
    <tableColumn id="14" xr3:uid="{1D5DA8D9-C95C-4F09-BAC1-E6602DB05FF6}" uniqueName="14" name="Response_1" queryTableFieldId="14" dataDxfId="84"/>
    <tableColumn id="15" xr3:uid="{232C82B9-357D-4F88-9C82-3EFF6C6F4004}" uniqueName="15" name="Resultado" queryTableFieldId="15" dataDxfId="83">
      <calculatedColumnFormula>IF(L2=N2,1,"")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E16791-A0A8-4F4B-BB24-EC5776A6F000}" name="regresionLogistica" displayName="regresionLogistica" ref="A1:O78" tableType="queryTable" totalsRowShown="0">
  <autoFilter ref="A1:O78" xr:uid="{703F3413-859C-4EA2-A04A-450CF6CB867E}"/>
  <tableColumns count="15">
    <tableColumn id="1" xr3:uid="{1EA119F6-39BC-4673-9FDE-53462B501244}" uniqueName="1" name="Age" queryTableFieldId="1"/>
    <tableColumn id="2" xr3:uid="{F4543563-D064-407C-96F7-81D0BCE661F1}" uniqueName="2" name="Gender" queryTableFieldId="2" dataDxfId="82"/>
    <tableColumn id="3" xr3:uid="{DC231A9B-AE62-404F-AADE-D030D6F0AF48}" uniqueName="3" name="Hx Radiothreapy" queryTableFieldId="3" dataDxfId="81"/>
    <tableColumn id="4" xr3:uid="{1CE453A6-DEA6-4600-92DB-6869D7AF92CC}" uniqueName="4" name="Adenopathy" queryTableFieldId="4" dataDxfId="80"/>
    <tableColumn id="5" xr3:uid="{11700FC0-AE8B-4E7A-B7B6-64187BA4529D}" uniqueName="5" name="Pathology" queryTableFieldId="5" dataDxfId="79"/>
    <tableColumn id="6" xr3:uid="{7AF15786-27FC-48C8-99D5-7BBDF64B2471}" uniqueName="6" name="Focality" queryTableFieldId="6" dataDxfId="78"/>
    <tableColumn id="7" xr3:uid="{A8EE2AD5-CBD4-4875-ADA4-4B94C5C7306B}" uniqueName="7" name="Risk" queryTableFieldId="7" dataDxfId="77"/>
    <tableColumn id="8" xr3:uid="{0EB8D2B2-8DBF-457E-B6D5-5C9260338529}" uniqueName="8" name="T" queryTableFieldId="8" dataDxfId="76"/>
    <tableColumn id="9" xr3:uid="{1467864A-8D9D-4886-8005-0C9225420B75}" uniqueName="9" name="N" queryTableFieldId="9" dataDxfId="75"/>
    <tableColumn id="10" xr3:uid="{2D54B7DA-9E7E-429B-BAD5-601CD7BBEB1F}" uniqueName="10" name="M" queryTableFieldId="10" dataDxfId="74"/>
    <tableColumn id="11" xr3:uid="{E922ED1D-7FFB-4121-B5AE-41CBB04944A9}" uniqueName="11" name="Stage" queryTableFieldId="11" dataDxfId="73"/>
    <tableColumn id="12" xr3:uid="{D8033537-FEC6-4923-9A88-B97D5DF29BD7}" uniqueName="12" name="Response" queryTableFieldId="12" dataDxfId="72"/>
    <tableColumn id="13" xr3:uid="{486E55F4-A6D2-44DD-8D7C-BB311C5F92AD}" uniqueName="13" name="Recurred" queryTableFieldId="13" dataDxfId="71"/>
    <tableColumn id="14" xr3:uid="{642BD9E6-E5C9-4C74-820F-6E0D78D0D4AD}" uniqueName="14" name="Response_1" queryTableFieldId="14" dataDxfId="70"/>
    <tableColumn id="15" xr3:uid="{B0DDD097-7245-4259-8AED-96B7F75992FE}" uniqueName="15" name="Resultado" queryTableFieldId="15" dataDxfId="69">
      <calculatedColumnFormula>IF(L2=N2,1,"")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B957D-1746-42EE-9F84-09BCF76E6044}" name="deepnet" displayName="deepnet" ref="A1:O78" tableType="queryTable" totalsRowShown="0">
  <autoFilter ref="A1:O78" xr:uid="{EE0411A6-5A3E-4935-B2A8-00DD67E74D94}"/>
  <tableColumns count="15">
    <tableColumn id="1" xr3:uid="{3CFA7F3F-06E3-46B1-A573-D809215A6844}" uniqueName="1" name="Age" queryTableFieldId="1"/>
    <tableColumn id="2" xr3:uid="{2F4132A1-9D2D-40D3-A4DE-55D8B1F1213F}" uniqueName="2" name="Gender" queryTableFieldId="2" dataDxfId="68"/>
    <tableColumn id="3" xr3:uid="{3F0F1527-8CA1-4860-83E4-B7D1A6B02B2A}" uniqueName="3" name="Hx Radiothreapy" queryTableFieldId="3" dataDxfId="67"/>
    <tableColumn id="4" xr3:uid="{EB750F2C-2F79-400A-BB59-C31F40E9D69D}" uniqueName="4" name="Adenopathy" queryTableFieldId="4" dataDxfId="66"/>
    <tableColumn id="5" xr3:uid="{274ADDB2-3806-44C8-AD25-286D007036B6}" uniqueName="5" name="Pathology" queryTableFieldId="5" dataDxfId="65"/>
    <tableColumn id="6" xr3:uid="{28162DBF-15A7-4376-B06C-5B06A031EE31}" uniqueName="6" name="Focality" queryTableFieldId="6" dataDxfId="64"/>
    <tableColumn id="7" xr3:uid="{5CCD53EF-5FCA-4813-8F96-687FC26B4F47}" uniqueName="7" name="Risk" queryTableFieldId="7" dataDxfId="63"/>
    <tableColumn id="8" xr3:uid="{D2DE087F-2937-47CF-8CF4-E1FEFAD9C3D6}" uniqueName="8" name="T" queryTableFieldId="8" dataDxfId="62"/>
    <tableColumn id="9" xr3:uid="{56EBF45B-49DA-4C9D-AB8D-E6D041924A9C}" uniqueName="9" name="N" queryTableFieldId="9" dataDxfId="61"/>
    <tableColumn id="10" xr3:uid="{4B37ACE7-7C8E-4C1D-A2D8-FCD88F0A6979}" uniqueName="10" name="M" queryTableFieldId="10" dataDxfId="60"/>
    <tableColumn id="11" xr3:uid="{942D4602-88B0-4AF5-8EB1-E0C5E0961134}" uniqueName="11" name="Stage" queryTableFieldId="11" dataDxfId="59"/>
    <tableColumn id="12" xr3:uid="{377F0E95-EA9B-4860-80DD-BABF7F059300}" uniqueName="12" name="Response" queryTableFieldId="12" dataDxfId="58"/>
    <tableColumn id="13" xr3:uid="{C6D5F713-086F-4E37-9F83-680F81073B7B}" uniqueName="13" name="Recurred" queryTableFieldId="13" dataDxfId="57"/>
    <tableColumn id="14" xr3:uid="{C4FD0ADD-816F-4250-A514-C64E2273FFD4}" uniqueName="14" name="Recurred_1" queryTableFieldId="14" dataDxfId="56"/>
    <tableColumn id="15" xr3:uid="{E3952902-B1E1-493F-AF03-1C749E228853}" uniqueName="15" name="Resultado" queryTableFieldId="15" dataDxfId="55">
      <calculatedColumnFormula>IF(M2=N2,1,"")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6B30AD9-2634-4C93-AB48-E8315E5B9C01}" name="optiml" displayName="optiml" ref="A1:O78" tableType="queryTable" totalsRowShown="0">
  <autoFilter ref="A1:O78" xr:uid="{AFF21FBE-3D1B-4441-8523-AFDAABF83B45}"/>
  <tableColumns count="15">
    <tableColumn id="1" xr3:uid="{49980C50-65C9-48D4-89D2-DE2D6ADD36CD}" uniqueName="1" name="Age" queryTableFieldId="1"/>
    <tableColumn id="2" xr3:uid="{3CD086A7-1232-4672-8731-7807E680A991}" uniqueName="2" name="Gender" queryTableFieldId="2" dataDxfId="54"/>
    <tableColumn id="3" xr3:uid="{AABC6619-7B29-4197-B0E7-E6BEE358C1F8}" uniqueName="3" name="Hx Radiothreapy" queryTableFieldId="3" dataDxfId="53"/>
    <tableColumn id="4" xr3:uid="{BFA87CE9-08BC-4355-9A0C-85739083A996}" uniqueName="4" name="Adenopathy" queryTableFieldId="4" dataDxfId="52"/>
    <tableColumn id="5" xr3:uid="{2A279A7C-7DC0-4066-B8EE-E5698531BE0B}" uniqueName="5" name="Pathology" queryTableFieldId="5" dataDxfId="51"/>
    <tableColumn id="6" xr3:uid="{C927A989-B336-42F8-9B79-D7D396B4ECFD}" uniqueName="6" name="Focality" queryTableFieldId="6" dataDxfId="50"/>
    <tableColumn id="7" xr3:uid="{4CC860AE-1B23-4357-A681-2E0F883928CA}" uniqueName="7" name="Risk" queryTableFieldId="7" dataDxfId="49"/>
    <tableColumn id="8" xr3:uid="{BECF4CF0-CD22-427B-B10A-C8459B5C8C69}" uniqueName="8" name="T" queryTableFieldId="8" dataDxfId="48"/>
    <tableColumn id="9" xr3:uid="{49249694-DFC3-4F8F-9D6C-47C52A3200BC}" uniqueName="9" name="N" queryTableFieldId="9" dataDxfId="47"/>
    <tableColumn id="10" xr3:uid="{445458BD-206E-436C-8D89-6097CFA8FCD2}" uniqueName="10" name="M" queryTableFieldId="10" dataDxfId="46"/>
    <tableColumn id="11" xr3:uid="{35925A5C-C47A-4955-AA2C-C0FC8957039C}" uniqueName="11" name="Stage" queryTableFieldId="11" dataDxfId="45"/>
    <tableColumn id="12" xr3:uid="{7790D679-3736-4F03-AAB6-30F3C949E52E}" uniqueName="12" name="Response" queryTableFieldId="12" dataDxfId="44"/>
    <tableColumn id="13" xr3:uid="{E9E8E153-3EC3-40C5-968E-961E4DBBCDBD}" uniqueName="13" name="Recurred" queryTableFieldId="13" dataDxfId="43"/>
    <tableColumn id="14" xr3:uid="{7A00F32B-BAE7-4249-A76B-4A24BC67BBB3}" uniqueName="14" name="Pathology_1" queryTableFieldId="14" dataDxfId="42"/>
    <tableColumn id="15" xr3:uid="{1813DFA5-C98C-47EF-A242-731170B6303F}" uniqueName="15" name="Resultado" queryTableFieldId="15" dataDxfId="41">
      <calculatedColumnFormula>IF(E2=N2,1,"")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496153-509E-476E-85C4-672D16DA94F3}" name="cluster" displayName="cluster" ref="A1:N78" tableType="queryTable" totalsRowShown="0">
  <autoFilter ref="A1:N78" xr:uid="{66D6654E-D77B-4022-BB4F-EF9A84A40D26}"/>
  <sortState xmlns:xlrd2="http://schemas.microsoft.com/office/spreadsheetml/2017/richdata2" ref="A2:N78">
    <sortCondition ref="N1:N78"/>
  </sortState>
  <tableColumns count="14">
    <tableColumn id="1" xr3:uid="{4104B6DE-3165-4903-ABDE-A71C4F3F9E6E}" uniqueName="1" name="Age" queryTableFieldId="1"/>
    <tableColumn id="2" xr3:uid="{5ACB96B6-E6B5-453C-A2A5-3E821CEC0CF5}" uniqueName="2" name="Gender" queryTableFieldId="2" dataDxfId="40"/>
    <tableColumn id="3" xr3:uid="{9200F0B9-7FB7-4D6A-BE06-9353B9C051AD}" uniqueName="3" name="Hx Radiothreapy" queryTableFieldId="3" dataDxfId="39"/>
    <tableColumn id="4" xr3:uid="{333D77E5-FDFD-4353-B7F0-627122FBC80E}" uniqueName="4" name="Adenopathy" queryTableFieldId="4" dataDxfId="38"/>
    <tableColumn id="5" xr3:uid="{B91EC54E-DE28-4D87-A414-73F1CEDCDCDC}" uniqueName="5" name="Pathology" queryTableFieldId="5" dataDxfId="37"/>
    <tableColumn id="6" xr3:uid="{9597A94F-0C62-428A-AF9C-864595D21F98}" uniqueName="6" name="Focality" queryTableFieldId="6" dataDxfId="36"/>
    <tableColumn id="7" xr3:uid="{7841B89A-3CA5-499F-872C-E4EFEA7A732D}" uniqueName="7" name="Risk" queryTableFieldId="7" dataDxfId="35"/>
    <tableColumn id="8" xr3:uid="{6CF64A6C-C963-43F7-9315-DA7F9FE37901}" uniqueName="8" name="T" queryTableFieldId="8" dataDxfId="34"/>
    <tableColumn id="9" xr3:uid="{D09CF079-9720-4D57-89D4-2B6D3D425F99}" uniqueName="9" name="N" queryTableFieldId="9" dataDxfId="33"/>
    <tableColumn id="10" xr3:uid="{D898F729-F562-47EF-94A6-8054C397F4BB}" uniqueName="10" name="M" queryTableFieldId="10" dataDxfId="32"/>
    <tableColumn id="11" xr3:uid="{3163C315-4C48-44D0-AB60-805FF0DDF2C6}" uniqueName="11" name="Stage" queryTableFieldId="11" dataDxfId="31"/>
    <tableColumn id="12" xr3:uid="{86BD53CB-C56B-4BB7-AD22-26DE7E0B8706}" uniqueName="12" name="Response" queryTableFieldId="12" dataDxfId="30"/>
    <tableColumn id="13" xr3:uid="{27726AD8-C3D6-4DE7-AE31-603E4812AFCF}" uniqueName="13" name="Recurred" queryTableFieldId="13" dataDxfId="29"/>
    <tableColumn id="14" xr3:uid="{BAC0DAE2-6FF4-417B-9E5F-D1E7A4F85BA8}" uniqueName="14" name="cluster" queryTableFieldId="14" dataDxfId="2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A69BCC-E746-4912-857F-CD152B400346}" name="anomaly" displayName="anomaly" ref="A1:N78" tableType="queryTable" totalsRowShown="0">
  <autoFilter ref="A1:N78" xr:uid="{65DEC5E0-5D3A-4480-B5F4-8017395E0444}"/>
  <tableColumns count="14">
    <tableColumn id="1" xr3:uid="{CBA36F93-F851-449F-81BD-149989E47F98}" uniqueName="1" name="Age" queryTableFieldId="1"/>
    <tableColumn id="2" xr3:uid="{38562F00-9945-4419-94B0-7DD17E3CB1DB}" uniqueName="2" name="Gender" queryTableFieldId="2" dataDxfId="27"/>
    <tableColumn id="3" xr3:uid="{E6739E63-0524-4C3E-9B40-32A7A8647B47}" uniqueName="3" name="Hx Radiothreapy" queryTableFieldId="3" dataDxfId="26"/>
    <tableColumn id="4" xr3:uid="{A84954FC-3D07-40C6-A3EA-19596176F5EE}" uniqueName="4" name="Adenopathy" queryTableFieldId="4" dataDxfId="25"/>
    <tableColumn id="5" xr3:uid="{7408227C-BE0E-428D-9591-7F613CC9D607}" uniqueName="5" name="Pathology" queryTableFieldId="5" dataDxfId="24"/>
    <tableColumn id="6" xr3:uid="{546E3BF6-B772-4926-89CC-238E9880040E}" uniqueName="6" name="Focality" queryTableFieldId="6" dataDxfId="23"/>
    <tableColumn id="7" xr3:uid="{80125778-584E-41A1-803E-6CEC937C6205}" uniqueName="7" name="Risk" queryTableFieldId="7" dataDxfId="22"/>
    <tableColumn id="8" xr3:uid="{39F43765-399F-4A81-8196-DFF35D8BEBD6}" uniqueName="8" name="T" queryTableFieldId="8" dataDxfId="21"/>
    <tableColumn id="9" xr3:uid="{046DBB85-A41C-4A66-84CC-65FB7F85EB16}" uniqueName="9" name="N" queryTableFieldId="9" dataDxfId="20"/>
    <tableColumn id="10" xr3:uid="{43602252-40A1-43EC-B1E0-A9F27AF0440A}" uniqueName="10" name="M" queryTableFieldId="10" dataDxfId="19"/>
    <tableColumn id="11" xr3:uid="{AC3C1268-051E-4B8C-96AF-2F34BB060174}" uniqueName="11" name="Stage" queryTableFieldId="11" dataDxfId="18"/>
    <tableColumn id="12" xr3:uid="{43510EAF-DA70-4F10-98C0-C5EB5103EFD8}" uniqueName="12" name="Response" queryTableFieldId="12" dataDxfId="17"/>
    <tableColumn id="13" xr3:uid="{8A5154F0-15FF-48DE-9B24-7B8E70213DEF}" uniqueName="13" name="Recurred" queryTableFieldId="13" dataDxfId="16"/>
    <tableColumn id="14" xr3:uid="{1E2304C2-D518-406C-9B6B-6AA2CA604D05}" uniqueName="14" name="score" queryTableFieldId="14" dataDxfId="1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405AFE-FBC4-4F05-878B-D1D6D3CFDCFB}" name="asociacion" displayName="asociacion" ref="A1:N8" tableType="queryTable" totalsRowShown="0">
  <autoFilter ref="A1:N8" xr:uid="{D9D01282-7769-4EE4-9C15-BC45C95A9D1E}"/>
  <tableColumns count="14">
    <tableColumn id="1" xr3:uid="{F05F0201-0C19-4EA6-ACAA-817F711EC939}" uniqueName="1" name="Rule ID" queryTableFieldId="1" dataDxfId="14"/>
    <tableColumn id="2" xr3:uid="{9DBF03D2-C0E9-4A87-962C-F1C6F743A963}" uniqueName="2" name="Antecedent" queryTableFieldId="2" dataDxfId="13"/>
    <tableColumn id="3" xr3:uid="{2C485D04-F599-4222-BEA5-BFBDD94B2A2F}" uniqueName="3" name="Consequent" queryTableFieldId="3" dataDxfId="12"/>
    <tableColumn id="4" xr3:uid="{BD52F3A6-7F4B-4F21-B639-A479E2327357}" uniqueName="4" name="Antecedent Coverage %" queryTableFieldId="4"/>
    <tableColumn id="5" xr3:uid="{61B71070-86A8-4373-A187-5ADCE6718A6B}" uniqueName="5" name="Antecedent Coverage" queryTableFieldId="5"/>
    <tableColumn id="6" xr3:uid="{87271CD0-F823-4024-9F39-F90F99448BD6}" uniqueName="6" name="Support %" queryTableFieldId="6"/>
    <tableColumn id="7" xr3:uid="{DFBF5A65-24AC-49B8-944C-E53CCE6BB699}" uniqueName="7" name="Support" queryTableFieldId="7"/>
    <tableColumn id="8" xr3:uid="{D898C3D1-0CDA-4DA9-923D-B1331CB328C6}" uniqueName="8" name="Confidence" queryTableFieldId="8"/>
    <tableColumn id="9" xr3:uid="{CBD7B17D-EA95-460D-BE1A-688D02EFF167}" uniqueName="9" name="Leverage" queryTableFieldId="9"/>
    <tableColumn id="10" xr3:uid="{59B94231-0C63-401C-BAED-07EC1A2C21A9}" uniqueName="10" name="Lift" queryTableFieldId="10"/>
    <tableColumn id="11" xr3:uid="{57790EC3-1934-4A7B-B0EE-E921EF2B485F}" uniqueName="11" name="p-value" queryTableFieldId="11"/>
    <tableColumn id="12" xr3:uid="{769E0A24-E867-4881-B36D-D663BECB92A7}" uniqueName="12" name="Consequent Coverage %" queryTableFieldId="12"/>
    <tableColumn id="13" xr3:uid="{F754828D-F69C-4814-AFD2-4F492A770989}" uniqueName="13" name="Consequent Coverage" queryTableFieldId="13"/>
    <tableColumn id="14" xr3:uid="{D0C7621B-EACB-4468-AEDD-3CF1F9A7FD77}" uniqueName="14" name="Consequent score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489D245-58EC-4177-A753-714939CBECB5}" name="pca" displayName="pca" ref="A1:AR78" tableType="queryTable" totalsRowShown="0">
  <autoFilter ref="A1:AR78" xr:uid="{79B638BA-885D-4F3E-B671-44BBF4F193F6}"/>
  <tableColumns count="44">
    <tableColumn id="1" xr3:uid="{382DADDC-73E8-406D-9FBB-FAD21395900B}" uniqueName="1" name="Age" queryTableFieldId="1"/>
    <tableColumn id="2" xr3:uid="{7EB2A487-AD2B-401F-A6C2-52D8CDB95782}" uniqueName="2" name="Gender" queryTableFieldId="2" dataDxfId="11"/>
    <tableColumn id="3" xr3:uid="{A274D40B-6FF1-4642-A34F-1BDB95EF5122}" uniqueName="3" name="Hx Radiothreapy" queryTableFieldId="3" dataDxfId="10"/>
    <tableColumn id="4" xr3:uid="{834DC80C-F4F7-4854-8DF5-BB2A294BEE2A}" uniqueName="4" name="Adenopathy" queryTableFieldId="4" dataDxfId="9"/>
    <tableColumn id="5" xr3:uid="{18B01DE3-9ECF-4B04-A343-3DE7E04F6FFF}" uniqueName="5" name="Pathology" queryTableFieldId="5" dataDxfId="8"/>
    <tableColumn id="6" xr3:uid="{55891C50-97F4-478E-BF4F-DEB672E82B28}" uniqueName="6" name="Focality" queryTableFieldId="6" dataDxfId="7"/>
    <tableColumn id="7" xr3:uid="{F9D640E5-3967-4246-AD91-A78726D433FB}" uniqueName="7" name="Risk" queryTableFieldId="7" dataDxfId="6"/>
    <tableColumn id="8" xr3:uid="{3B50E3A3-E4EC-4CFC-91E5-627680F1ED36}" uniqueName="8" name="T" queryTableFieldId="8" dataDxfId="5"/>
    <tableColumn id="9" xr3:uid="{3359284E-2BF9-4608-9943-090C12156589}" uniqueName="9" name="N" queryTableFieldId="9" dataDxfId="4"/>
    <tableColumn id="10" xr3:uid="{47D0F84F-0C83-40B2-962E-2DFFE365F800}" uniqueName="10" name="M" queryTableFieldId="10" dataDxfId="3"/>
    <tableColumn id="11" xr3:uid="{D7E5BB4C-2A9E-4BB5-A4C6-369D512D7DA5}" uniqueName="11" name="Stage" queryTableFieldId="11" dataDxfId="2"/>
    <tableColumn id="12" xr3:uid="{DF23C62A-9F65-46E6-AAD8-D768FE203599}" uniqueName="12" name="Response" queryTableFieldId="12" dataDxfId="1"/>
    <tableColumn id="13" xr3:uid="{F5B1EE9C-AE96-41DC-849B-CE4289B2E1C6}" uniqueName="13" name="Recurred" queryTableFieldId="13" dataDxfId="0"/>
    <tableColumn id="14" xr3:uid="{0344DB95-9E1D-41C6-9593-CB0278C2622C}" uniqueName="14" name="PC1" queryTableFieldId="14"/>
    <tableColumn id="15" xr3:uid="{848F7924-D7D5-4092-B237-3641A5A26993}" uniqueName="15" name="PC2" queryTableFieldId="15"/>
    <tableColumn id="16" xr3:uid="{3CC9416A-DAD2-44FF-9BC1-D964285C5D1A}" uniqueName="16" name="PC3" queryTableFieldId="16"/>
    <tableColumn id="17" xr3:uid="{8412EE3E-8E04-45AE-ADEC-2E9A93F34405}" uniqueName="17" name="PC4" queryTableFieldId="17"/>
    <tableColumn id="18" xr3:uid="{7B157041-5E59-499C-848D-858451E1F152}" uniqueName="18" name="PC5" queryTableFieldId="18"/>
    <tableColumn id="19" xr3:uid="{6F733CA2-97A3-426B-84E7-E52B30C4B6F8}" uniqueName="19" name="PC6" queryTableFieldId="19"/>
    <tableColumn id="20" xr3:uid="{B7A93CAA-0C04-4CBE-8B7F-0C1011A444FC}" uniqueName="20" name="PC7" queryTableFieldId="20"/>
    <tableColumn id="21" xr3:uid="{BE423FB7-43B8-4BDE-AEF9-F336E162AF21}" uniqueName="21" name="PC8" queryTableFieldId="21"/>
    <tableColumn id="22" xr3:uid="{288816BA-5D42-40AF-8C21-BEEC2E16BEE7}" uniqueName="22" name="PC9" queryTableFieldId="22"/>
    <tableColumn id="23" xr3:uid="{2EFCC516-11FC-4096-B32F-79A131E27B72}" uniqueName="23" name="PC10" queryTableFieldId="23"/>
    <tableColumn id="24" xr3:uid="{160AACE8-31DE-46CA-8CE5-594303DCA2EE}" uniqueName="24" name="PC11" queryTableFieldId="24"/>
    <tableColumn id="25" xr3:uid="{A071E19E-DDAF-45D6-B4FF-306FA663CE98}" uniqueName="25" name="PC12" queryTableFieldId="25"/>
    <tableColumn id="26" xr3:uid="{C048DA20-C899-4E02-A89E-23B3467A5821}" uniqueName="26" name="PC13" queryTableFieldId="26"/>
    <tableColumn id="27" xr3:uid="{494D806C-2B89-461C-AFF6-0D777B8C15E8}" uniqueName="27" name="PC14" queryTableFieldId="27"/>
    <tableColumn id="28" xr3:uid="{F095FC02-8D08-4DD6-B63E-BC7F50899916}" uniqueName="28" name="PC15" queryTableFieldId="28"/>
    <tableColumn id="29" xr3:uid="{58E1D65F-E2A5-4C2D-9435-CC6D7B2D8A7F}" uniqueName="29" name="PC16" queryTableFieldId="29"/>
    <tableColumn id="30" xr3:uid="{A3469978-B510-4B7F-9D71-7EE79C3E3368}" uniqueName="30" name="PC17" queryTableFieldId="30"/>
    <tableColumn id="31" xr3:uid="{2D37A063-F800-449E-A897-5D6821D1CB12}" uniqueName="31" name="PC18" queryTableFieldId="31"/>
    <tableColumn id="32" xr3:uid="{B4EC03CD-4E17-4803-B76C-2F01374B65E2}" uniqueName="32" name="PC19" queryTableFieldId="32"/>
    <tableColumn id="33" xr3:uid="{3FC56E6B-A7CE-4882-AC3F-ECA20A52201A}" uniqueName="33" name="PC20" queryTableFieldId="33"/>
    <tableColumn id="34" xr3:uid="{6E11420A-41D5-434C-81FE-E345C72A34BF}" uniqueName="34" name="PC21" queryTableFieldId="34"/>
    <tableColumn id="35" xr3:uid="{9B6B7DF9-A8FF-4831-B79D-24B80A067500}" uniqueName="35" name="PC22" queryTableFieldId="35"/>
    <tableColumn id="36" xr3:uid="{33AF37F0-6A46-460B-8E36-4F7AFAD828F7}" uniqueName="36" name="PC23" queryTableFieldId="36"/>
    <tableColumn id="37" xr3:uid="{605D3F23-2F89-4412-8F6B-507BE2F3CC6D}" uniqueName="37" name="PC24" queryTableFieldId="37"/>
    <tableColumn id="38" xr3:uid="{9B62F6FE-EDA5-4995-A1ED-7905229CBCE6}" uniqueName="38" name="PC25" queryTableFieldId="38"/>
    <tableColumn id="39" xr3:uid="{87F5A20B-4007-41B4-B3F8-C0D8543F22CB}" uniqueName="39" name="PC26" queryTableFieldId="39"/>
    <tableColumn id="40" xr3:uid="{C5647DA9-B023-4C3B-93C0-32A4EE689B1F}" uniqueName="40" name="PC27" queryTableFieldId="40"/>
    <tableColumn id="41" xr3:uid="{BDB7C16D-B89E-4AA7-B40B-D72BBB0FE8BA}" uniqueName="41" name="PC28" queryTableFieldId="41"/>
    <tableColumn id="42" xr3:uid="{745A5398-E142-4308-B184-20D17CD73FE8}" uniqueName="42" name="PC29" queryTableFieldId="42"/>
    <tableColumn id="43" xr3:uid="{C136848C-0314-4D29-9DBA-AA68906BFD07}" uniqueName="43" name="PC30" queryTableFieldId="43"/>
    <tableColumn id="44" xr3:uid="{36381CB1-3AF4-4E63-A80F-92530BAEAC0A}" uniqueName="44" name="PC31" queryTableFieldId="4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P384"/>
  <sheetViews>
    <sheetView tabSelected="1" workbookViewId="0">
      <selection activeCell="K1" activeCellId="3" sqref="A1:A1048576 M1:M1048576 L1:L1048576 K1:K1048576"/>
    </sheetView>
  </sheetViews>
  <sheetFormatPr baseColWidth="10" defaultRowHeight="14.4" x14ac:dyDescent="0.3"/>
  <cols>
    <col min="3" max="3" width="16.77734375" customWidth="1"/>
    <col min="4" max="4" width="13.33203125" customWidth="1"/>
    <col min="12" max="12" width="11.5546875" customWidth="1"/>
    <col min="15" max="15" width="12.88671875" bestFit="1" customWidth="1"/>
    <col min="16" max="16" width="17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6" x14ac:dyDescent="0.3">
      <c r="A2">
        <v>15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</row>
    <row r="3" spans="1:16" x14ac:dyDescent="0.3">
      <c r="A3">
        <v>17</v>
      </c>
      <c r="B3" t="s">
        <v>13</v>
      </c>
      <c r="C3" t="s">
        <v>14</v>
      </c>
      <c r="D3" t="s">
        <v>14</v>
      </c>
      <c r="E3" t="s">
        <v>16</v>
      </c>
      <c r="F3" t="s">
        <v>25</v>
      </c>
      <c r="G3" t="s">
        <v>26</v>
      </c>
      <c r="H3" t="s">
        <v>27</v>
      </c>
      <c r="I3" t="s">
        <v>28</v>
      </c>
      <c r="J3" t="s">
        <v>21</v>
      </c>
      <c r="K3" t="s">
        <v>22</v>
      </c>
      <c r="L3" t="s">
        <v>23</v>
      </c>
      <c r="M3" t="s">
        <v>24</v>
      </c>
      <c r="O3" s="1" t="s">
        <v>29</v>
      </c>
      <c r="P3" t="s">
        <v>0</v>
      </c>
    </row>
    <row r="4" spans="1:16" x14ac:dyDescent="0.3">
      <c r="A4">
        <v>17</v>
      </c>
      <c r="B4" t="s">
        <v>13</v>
      </c>
      <c r="C4" t="s">
        <v>14</v>
      </c>
      <c r="D4" t="s">
        <v>14</v>
      </c>
      <c r="E4" t="s">
        <v>16</v>
      </c>
      <c r="F4" t="s">
        <v>25</v>
      </c>
      <c r="G4" t="s">
        <v>33</v>
      </c>
      <c r="H4" t="s">
        <v>34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O4" s="1" t="s">
        <v>32</v>
      </c>
      <c r="P4" t="s">
        <v>53</v>
      </c>
    </row>
    <row r="5" spans="1:16" x14ac:dyDescent="0.3">
      <c r="A5">
        <v>17</v>
      </c>
      <c r="B5" t="s">
        <v>13</v>
      </c>
      <c r="C5" t="s">
        <v>14</v>
      </c>
      <c r="D5" t="s">
        <v>30</v>
      </c>
      <c r="E5" t="s">
        <v>16</v>
      </c>
      <c r="F5" t="s">
        <v>25</v>
      </c>
      <c r="G5" t="s">
        <v>18</v>
      </c>
      <c r="H5" t="s">
        <v>27</v>
      </c>
      <c r="I5" t="s">
        <v>20</v>
      </c>
      <c r="J5" t="s">
        <v>21</v>
      </c>
      <c r="K5" t="s">
        <v>22</v>
      </c>
      <c r="L5" t="s">
        <v>31</v>
      </c>
      <c r="M5" t="s">
        <v>14</v>
      </c>
    </row>
    <row r="6" spans="1:16" x14ac:dyDescent="0.3">
      <c r="A6">
        <v>18</v>
      </c>
      <c r="B6" t="s">
        <v>13</v>
      </c>
      <c r="C6" t="s">
        <v>14</v>
      </c>
      <c r="D6" t="s">
        <v>30</v>
      </c>
      <c r="E6" t="s">
        <v>16</v>
      </c>
      <c r="F6" t="s">
        <v>25</v>
      </c>
      <c r="G6" t="s">
        <v>18</v>
      </c>
      <c r="H6" t="s">
        <v>34</v>
      </c>
      <c r="I6" t="s">
        <v>20</v>
      </c>
      <c r="J6" t="s">
        <v>21</v>
      </c>
      <c r="K6" t="s">
        <v>22</v>
      </c>
      <c r="L6" t="s">
        <v>23</v>
      </c>
      <c r="M6" t="s">
        <v>24</v>
      </c>
    </row>
    <row r="7" spans="1:16" x14ac:dyDescent="0.3">
      <c r="A7">
        <v>19</v>
      </c>
      <c r="B7" t="s">
        <v>13</v>
      </c>
      <c r="C7" t="s">
        <v>14</v>
      </c>
      <c r="D7" t="s">
        <v>14</v>
      </c>
      <c r="E7" t="s">
        <v>16</v>
      </c>
      <c r="F7" t="s">
        <v>17</v>
      </c>
      <c r="G7" t="s">
        <v>33</v>
      </c>
      <c r="H7" t="s">
        <v>19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</row>
    <row r="8" spans="1:16" x14ac:dyDescent="0.3">
      <c r="A8">
        <v>19</v>
      </c>
      <c r="B8" t="s">
        <v>13</v>
      </c>
      <c r="C8" t="s">
        <v>14</v>
      </c>
      <c r="D8" t="s">
        <v>14</v>
      </c>
      <c r="E8" t="s">
        <v>16</v>
      </c>
      <c r="F8" t="s">
        <v>25</v>
      </c>
      <c r="G8" t="s">
        <v>33</v>
      </c>
      <c r="H8" t="s">
        <v>27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</row>
    <row r="9" spans="1:16" x14ac:dyDescent="0.3">
      <c r="A9">
        <v>20</v>
      </c>
      <c r="B9" t="s">
        <v>9</v>
      </c>
      <c r="C9" t="s">
        <v>14</v>
      </c>
      <c r="D9" t="s">
        <v>30</v>
      </c>
      <c r="E9" t="s">
        <v>16</v>
      </c>
      <c r="F9" t="s">
        <v>25</v>
      </c>
      <c r="G9" t="s">
        <v>33</v>
      </c>
      <c r="H9" t="s">
        <v>27</v>
      </c>
      <c r="I9" t="s">
        <v>28</v>
      </c>
      <c r="J9" t="s">
        <v>21</v>
      </c>
      <c r="K9" t="s">
        <v>22</v>
      </c>
      <c r="L9" t="s">
        <v>23</v>
      </c>
      <c r="M9" t="s">
        <v>24</v>
      </c>
    </row>
    <row r="10" spans="1:16" x14ac:dyDescent="0.3">
      <c r="A10">
        <v>20</v>
      </c>
      <c r="B10" t="s">
        <v>13</v>
      </c>
      <c r="C10" t="s">
        <v>14</v>
      </c>
      <c r="D10" t="s">
        <v>14</v>
      </c>
      <c r="E10" t="s">
        <v>16</v>
      </c>
      <c r="F10" t="s">
        <v>25</v>
      </c>
      <c r="G10" t="s">
        <v>33</v>
      </c>
      <c r="H10" t="s">
        <v>27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</row>
    <row r="11" spans="1:16" x14ac:dyDescent="0.3">
      <c r="A11">
        <v>20</v>
      </c>
      <c r="B11" t="s">
        <v>13</v>
      </c>
      <c r="C11" t="s">
        <v>14</v>
      </c>
      <c r="D11" t="s">
        <v>14</v>
      </c>
      <c r="E11" t="s">
        <v>37</v>
      </c>
      <c r="F11" t="s">
        <v>25</v>
      </c>
      <c r="G11" t="s">
        <v>33</v>
      </c>
      <c r="H11" t="s">
        <v>38</v>
      </c>
      <c r="I11" t="s">
        <v>28</v>
      </c>
      <c r="J11" t="s">
        <v>21</v>
      </c>
      <c r="K11" t="s">
        <v>22</v>
      </c>
      <c r="L11" t="s">
        <v>35</v>
      </c>
      <c r="M11" t="s">
        <v>14</v>
      </c>
    </row>
    <row r="12" spans="1:16" x14ac:dyDescent="0.3">
      <c r="A12">
        <v>20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18</v>
      </c>
      <c r="H12" t="s">
        <v>27</v>
      </c>
      <c r="I12" t="s">
        <v>36</v>
      </c>
      <c r="J12" t="s">
        <v>21</v>
      </c>
      <c r="K12" t="s">
        <v>22</v>
      </c>
      <c r="L12" t="s">
        <v>35</v>
      </c>
      <c r="M12" t="s">
        <v>14</v>
      </c>
    </row>
    <row r="13" spans="1:16" x14ac:dyDescent="0.3">
      <c r="A13">
        <v>20</v>
      </c>
      <c r="B13" t="s">
        <v>9</v>
      </c>
      <c r="C13" t="s">
        <v>14</v>
      </c>
      <c r="D13" t="s">
        <v>30</v>
      </c>
      <c r="E13" t="s">
        <v>16</v>
      </c>
      <c r="F13" t="s">
        <v>25</v>
      </c>
      <c r="G13" t="s">
        <v>18</v>
      </c>
      <c r="H13" t="s">
        <v>27</v>
      </c>
      <c r="I13" t="s">
        <v>20</v>
      </c>
      <c r="J13" t="s">
        <v>21</v>
      </c>
      <c r="K13" t="s">
        <v>22</v>
      </c>
      <c r="L13" t="s">
        <v>23</v>
      </c>
      <c r="M13" t="s">
        <v>24</v>
      </c>
    </row>
    <row r="14" spans="1:16" x14ac:dyDescent="0.3">
      <c r="A14">
        <v>20</v>
      </c>
      <c r="B14" t="s">
        <v>9</v>
      </c>
      <c r="C14" t="s">
        <v>14</v>
      </c>
      <c r="D14" t="s">
        <v>14</v>
      </c>
      <c r="E14" t="s">
        <v>16</v>
      </c>
      <c r="F14" t="s">
        <v>17</v>
      </c>
      <c r="G14" t="s">
        <v>18</v>
      </c>
      <c r="H14" t="s">
        <v>27</v>
      </c>
      <c r="I14" t="s">
        <v>20</v>
      </c>
      <c r="J14" t="s">
        <v>21</v>
      </c>
      <c r="K14" t="s">
        <v>22</v>
      </c>
      <c r="L14" t="s">
        <v>35</v>
      </c>
      <c r="M14" t="s">
        <v>14</v>
      </c>
    </row>
    <row r="15" spans="1:16" x14ac:dyDescent="0.3">
      <c r="A15">
        <v>21</v>
      </c>
      <c r="B15" t="s">
        <v>13</v>
      </c>
      <c r="C15" t="s">
        <v>14</v>
      </c>
      <c r="D15" t="s">
        <v>14</v>
      </c>
      <c r="E15" t="s">
        <v>16</v>
      </c>
      <c r="F15" t="s">
        <v>17</v>
      </c>
      <c r="G15" t="s">
        <v>18</v>
      </c>
      <c r="H15" t="s">
        <v>39</v>
      </c>
      <c r="I15" t="s">
        <v>28</v>
      </c>
      <c r="J15" t="s">
        <v>21</v>
      </c>
      <c r="K15" t="s">
        <v>22</v>
      </c>
      <c r="L15" t="s">
        <v>23</v>
      </c>
      <c r="M15" t="s">
        <v>24</v>
      </c>
    </row>
    <row r="16" spans="1:16" x14ac:dyDescent="0.3">
      <c r="A16">
        <v>21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31</v>
      </c>
      <c r="M16" t="s">
        <v>14</v>
      </c>
    </row>
    <row r="17" spans="1:13" x14ac:dyDescent="0.3">
      <c r="A17">
        <v>21</v>
      </c>
      <c r="B17" t="s">
        <v>13</v>
      </c>
      <c r="C17" t="s">
        <v>14</v>
      </c>
      <c r="D17" t="s">
        <v>14</v>
      </c>
      <c r="E17" t="s">
        <v>16</v>
      </c>
      <c r="F17" t="s">
        <v>25</v>
      </c>
      <c r="G17" t="s">
        <v>33</v>
      </c>
      <c r="H17" t="s">
        <v>27</v>
      </c>
      <c r="I17" t="s">
        <v>28</v>
      </c>
      <c r="J17" t="s">
        <v>21</v>
      </c>
      <c r="K17" t="s">
        <v>22</v>
      </c>
      <c r="L17" t="s">
        <v>35</v>
      </c>
      <c r="M17" t="s">
        <v>14</v>
      </c>
    </row>
    <row r="18" spans="1:13" x14ac:dyDescent="0.3">
      <c r="A18">
        <v>21</v>
      </c>
      <c r="B18" t="s">
        <v>13</v>
      </c>
      <c r="C18" t="s">
        <v>14</v>
      </c>
      <c r="D18" t="s">
        <v>14</v>
      </c>
      <c r="E18" t="s">
        <v>16</v>
      </c>
      <c r="F18" t="s">
        <v>25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</row>
    <row r="19" spans="1:13" x14ac:dyDescent="0.3">
      <c r="A19">
        <v>21</v>
      </c>
      <c r="B19" t="s">
        <v>13</v>
      </c>
      <c r="C19" t="s">
        <v>14</v>
      </c>
      <c r="D19" t="s">
        <v>14</v>
      </c>
      <c r="E19" t="s">
        <v>16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</row>
    <row r="20" spans="1:13" x14ac:dyDescent="0.3">
      <c r="A20">
        <v>21</v>
      </c>
      <c r="B20" t="s">
        <v>9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19</v>
      </c>
      <c r="I20" t="s">
        <v>28</v>
      </c>
      <c r="J20" t="s">
        <v>21</v>
      </c>
      <c r="K20" t="s">
        <v>22</v>
      </c>
      <c r="L20" t="s">
        <v>41</v>
      </c>
      <c r="M20" t="s">
        <v>14</v>
      </c>
    </row>
    <row r="21" spans="1:13" x14ac:dyDescent="0.3">
      <c r="A21">
        <v>21</v>
      </c>
      <c r="B21" t="s">
        <v>13</v>
      </c>
      <c r="C21" t="s">
        <v>14</v>
      </c>
      <c r="D21" t="s">
        <v>40</v>
      </c>
      <c r="E21" t="s">
        <v>16</v>
      </c>
      <c r="F21" t="s">
        <v>25</v>
      </c>
      <c r="G21" t="s">
        <v>18</v>
      </c>
      <c r="H21" t="s">
        <v>27</v>
      </c>
      <c r="I21" t="s">
        <v>20</v>
      </c>
      <c r="J21" t="s">
        <v>21</v>
      </c>
      <c r="K21" t="s">
        <v>22</v>
      </c>
      <c r="L21" t="s">
        <v>23</v>
      </c>
      <c r="M21" t="s">
        <v>24</v>
      </c>
    </row>
    <row r="22" spans="1:13" x14ac:dyDescent="0.3">
      <c r="A22">
        <v>21</v>
      </c>
      <c r="B22" t="s">
        <v>13</v>
      </c>
      <c r="C22" t="s">
        <v>14</v>
      </c>
      <c r="D22" t="s">
        <v>30</v>
      </c>
      <c r="E22" t="s">
        <v>16</v>
      </c>
      <c r="F22" t="s">
        <v>25</v>
      </c>
      <c r="G22" t="s">
        <v>33</v>
      </c>
      <c r="H22" t="s">
        <v>27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</row>
    <row r="23" spans="1:13" x14ac:dyDescent="0.3">
      <c r="A23">
        <v>21</v>
      </c>
      <c r="B23" t="s">
        <v>13</v>
      </c>
      <c r="C23" t="s">
        <v>14</v>
      </c>
      <c r="D23" t="s">
        <v>30</v>
      </c>
      <c r="E23" t="s">
        <v>16</v>
      </c>
      <c r="F23" t="s">
        <v>17</v>
      </c>
      <c r="G23" t="s">
        <v>33</v>
      </c>
      <c r="H23" t="s">
        <v>19</v>
      </c>
      <c r="I23" t="s">
        <v>20</v>
      </c>
      <c r="J23" t="s">
        <v>21</v>
      </c>
      <c r="K23" t="s">
        <v>22</v>
      </c>
      <c r="L23" t="s">
        <v>35</v>
      </c>
      <c r="M23" t="s">
        <v>14</v>
      </c>
    </row>
    <row r="24" spans="1:13" x14ac:dyDescent="0.3">
      <c r="A24">
        <v>22</v>
      </c>
      <c r="B24" t="s">
        <v>9</v>
      </c>
      <c r="C24" t="s">
        <v>14</v>
      </c>
      <c r="D24" t="s">
        <v>14</v>
      </c>
      <c r="E24" t="s">
        <v>16</v>
      </c>
      <c r="F24" t="s">
        <v>17</v>
      </c>
      <c r="G24" t="s">
        <v>33</v>
      </c>
      <c r="H24" t="s">
        <v>34</v>
      </c>
      <c r="I24" t="s">
        <v>28</v>
      </c>
      <c r="J24" t="s">
        <v>21</v>
      </c>
      <c r="K24" t="s">
        <v>22</v>
      </c>
      <c r="L24" t="s">
        <v>35</v>
      </c>
      <c r="M24" t="s">
        <v>14</v>
      </c>
    </row>
    <row r="25" spans="1:13" x14ac:dyDescent="0.3">
      <c r="A25">
        <v>22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34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</row>
    <row r="26" spans="1:13" x14ac:dyDescent="0.3">
      <c r="A26">
        <v>22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34</v>
      </c>
      <c r="I26" t="s">
        <v>28</v>
      </c>
      <c r="J26" t="s">
        <v>21</v>
      </c>
      <c r="K26" t="s">
        <v>22</v>
      </c>
      <c r="L26" t="s">
        <v>35</v>
      </c>
      <c r="M26" t="s">
        <v>14</v>
      </c>
    </row>
    <row r="27" spans="1:13" x14ac:dyDescent="0.3">
      <c r="A27">
        <v>22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35</v>
      </c>
      <c r="M27" t="s">
        <v>14</v>
      </c>
    </row>
    <row r="28" spans="1:13" x14ac:dyDescent="0.3">
      <c r="A28">
        <v>22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35</v>
      </c>
      <c r="M28" t="s">
        <v>14</v>
      </c>
    </row>
    <row r="29" spans="1:13" x14ac:dyDescent="0.3">
      <c r="A29">
        <v>22</v>
      </c>
      <c r="B29" t="s">
        <v>13</v>
      </c>
      <c r="C29" t="s">
        <v>14</v>
      </c>
      <c r="D29" t="s">
        <v>30</v>
      </c>
      <c r="E29" t="s">
        <v>16</v>
      </c>
      <c r="F29" t="s">
        <v>17</v>
      </c>
      <c r="G29" t="s">
        <v>18</v>
      </c>
      <c r="H29" t="s">
        <v>39</v>
      </c>
      <c r="I29" t="s">
        <v>36</v>
      </c>
      <c r="J29" t="s">
        <v>21</v>
      </c>
      <c r="K29" t="s">
        <v>22</v>
      </c>
      <c r="L29" t="s">
        <v>23</v>
      </c>
      <c r="M29" t="s">
        <v>24</v>
      </c>
    </row>
    <row r="30" spans="1:13" x14ac:dyDescent="0.3">
      <c r="A30">
        <v>23</v>
      </c>
      <c r="B30" t="s">
        <v>13</v>
      </c>
      <c r="C30" t="s">
        <v>14</v>
      </c>
      <c r="D30" t="s">
        <v>40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</row>
    <row r="31" spans="1:13" x14ac:dyDescent="0.3">
      <c r="A31">
        <v>23</v>
      </c>
      <c r="B31" t="s">
        <v>13</v>
      </c>
      <c r="C31" t="s">
        <v>14</v>
      </c>
      <c r="D31" t="s">
        <v>14</v>
      </c>
      <c r="E31" t="s">
        <v>16</v>
      </c>
      <c r="F31" t="s">
        <v>17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31</v>
      </c>
      <c r="M31" t="s">
        <v>14</v>
      </c>
    </row>
    <row r="32" spans="1:13" x14ac:dyDescent="0.3">
      <c r="A32">
        <v>23</v>
      </c>
      <c r="B32" t="s">
        <v>13</v>
      </c>
      <c r="C32" t="s">
        <v>14</v>
      </c>
      <c r="D32" t="s">
        <v>14</v>
      </c>
      <c r="E32" t="s">
        <v>16</v>
      </c>
      <c r="F32" t="s">
        <v>17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</row>
    <row r="33" spans="1:13" x14ac:dyDescent="0.3">
      <c r="A33">
        <v>23</v>
      </c>
      <c r="B33" t="s">
        <v>13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34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</row>
    <row r="34" spans="1:13" x14ac:dyDescent="0.3">
      <c r="A34">
        <v>23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34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</row>
    <row r="35" spans="1:13" x14ac:dyDescent="0.3">
      <c r="A35">
        <v>23</v>
      </c>
      <c r="B35" t="s">
        <v>13</v>
      </c>
      <c r="C35" t="s">
        <v>14</v>
      </c>
      <c r="D35" t="s">
        <v>30</v>
      </c>
      <c r="E35" t="s">
        <v>16</v>
      </c>
      <c r="F35" t="s">
        <v>25</v>
      </c>
      <c r="G35" t="s">
        <v>18</v>
      </c>
      <c r="H35" t="s">
        <v>39</v>
      </c>
      <c r="I35" t="s">
        <v>36</v>
      </c>
      <c r="J35" t="s">
        <v>21</v>
      </c>
      <c r="K35" t="s">
        <v>22</v>
      </c>
      <c r="L35" t="s">
        <v>23</v>
      </c>
      <c r="M35" t="s">
        <v>24</v>
      </c>
    </row>
    <row r="36" spans="1:13" x14ac:dyDescent="0.3">
      <c r="A36">
        <v>24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35</v>
      </c>
      <c r="M36" t="s">
        <v>14</v>
      </c>
    </row>
    <row r="37" spans="1:13" x14ac:dyDescent="0.3">
      <c r="A37">
        <v>24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41</v>
      </c>
      <c r="M37" t="s">
        <v>14</v>
      </c>
    </row>
    <row r="38" spans="1:13" x14ac:dyDescent="0.3">
      <c r="A38">
        <v>24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</row>
    <row r="39" spans="1:13" x14ac:dyDescent="0.3">
      <c r="A39">
        <v>24</v>
      </c>
      <c r="B39" t="s">
        <v>13</v>
      </c>
      <c r="C39" t="s">
        <v>14</v>
      </c>
      <c r="D39" t="s">
        <v>14</v>
      </c>
      <c r="E39" t="s">
        <v>16</v>
      </c>
      <c r="F39" t="s">
        <v>25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</row>
    <row r="40" spans="1:13" x14ac:dyDescent="0.3">
      <c r="A40">
        <v>24</v>
      </c>
      <c r="B40" t="s">
        <v>13</v>
      </c>
      <c r="C40" t="s">
        <v>14</v>
      </c>
      <c r="D40" t="s">
        <v>14</v>
      </c>
      <c r="E40" t="s">
        <v>42</v>
      </c>
      <c r="F40" t="s">
        <v>25</v>
      </c>
      <c r="G40" t="s">
        <v>33</v>
      </c>
      <c r="H40" t="s">
        <v>27</v>
      </c>
      <c r="I40" t="s">
        <v>28</v>
      </c>
      <c r="J40" t="s">
        <v>21</v>
      </c>
      <c r="K40" t="s">
        <v>22</v>
      </c>
      <c r="L40" t="s">
        <v>35</v>
      </c>
      <c r="M40" t="s">
        <v>14</v>
      </c>
    </row>
    <row r="41" spans="1:13" x14ac:dyDescent="0.3">
      <c r="A41">
        <v>24</v>
      </c>
      <c r="B41" t="s">
        <v>9</v>
      </c>
      <c r="C41" t="s">
        <v>14</v>
      </c>
      <c r="D41" t="s">
        <v>14</v>
      </c>
      <c r="E41" t="s">
        <v>16</v>
      </c>
      <c r="F41" t="s">
        <v>25</v>
      </c>
      <c r="G41" t="s">
        <v>33</v>
      </c>
      <c r="H41" t="s">
        <v>34</v>
      </c>
      <c r="I41" t="s">
        <v>28</v>
      </c>
      <c r="J41" t="s">
        <v>21</v>
      </c>
      <c r="K41" t="s">
        <v>22</v>
      </c>
      <c r="L41" t="s">
        <v>35</v>
      </c>
      <c r="M41" t="s">
        <v>14</v>
      </c>
    </row>
    <row r="42" spans="1:13" x14ac:dyDescent="0.3">
      <c r="A42">
        <v>24</v>
      </c>
      <c r="B42" t="s">
        <v>9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35</v>
      </c>
      <c r="M42" t="s">
        <v>14</v>
      </c>
    </row>
    <row r="43" spans="1:13" x14ac:dyDescent="0.3">
      <c r="A43">
        <v>24</v>
      </c>
      <c r="B43" t="s">
        <v>13</v>
      </c>
      <c r="C43" t="s">
        <v>14</v>
      </c>
      <c r="D43" t="s">
        <v>15</v>
      </c>
      <c r="E43" t="s">
        <v>16</v>
      </c>
      <c r="F43" t="s">
        <v>17</v>
      </c>
      <c r="G43" t="s">
        <v>18</v>
      </c>
      <c r="H43" t="s">
        <v>27</v>
      </c>
      <c r="I43" t="s">
        <v>20</v>
      </c>
      <c r="J43" t="s">
        <v>21</v>
      </c>
      <c r="K43" t="s">
        <v>22</v>
      </c>
      <c r="L43" t="s">
        <v>35</v>
      </c>
      <c r="M43" t="s">
        <v>14</v>
      </c>
    </row>
    <row r="44" spans="1:13" x14ac:dyDescent="0.3">
      <c r="A44">
        <v>25</v>
      </c>
      <c r="B44" t="s">
        <v>13</v>
      </c>
      <c r="C44" t="s">
        <v>14</v>
      </c>
      <c r="D44" t="s">
        <v>14</v>
      </c>
      <c r="E44" t="s">
        <v>16</v>
      </c>
      <c r="F44" t="s">
        <v>17</v>
      </c>
      <c r="G44" t="s">
        <v>33</v>
      </c>
      <c r="H44" t="s">
        <v>34</v>
      </c>
      <c r="I44" t="s">
        <v>28</v>
      </c>
      <c r="J44" t="s">
        <v>21</v>
      </c>
      <c r="K44" t="s">
        <v>22</v>
      </c>
      <c r="L44" t="s">
        <v>35</v>
      </c>
      <c r="M44" t="s">
        <v>14</v>
      </c>
    </row>
    <row r="45" spans="1:13" x14ac:dyDescent="0.3">
      <c r="A45">
        <v>25</v>
      </c>
      <c r="B45" t="s">
        <v>13</v>
      </c>
      <c r="C45" t="s">
        <v>14</v>
      </c>
      <c r="D45" t="s">
        <v>14</v>
      </c>
      <c r="E45" t="s">
        <v>42</v>
      </c>
      <c r="F45" t="s">
        <v>17</v>
      </c>
      <c r="G45" t="s">
        <v>33</v>
      </c>
      <c r="H45" t="s">
        <v>19</v>
      </c>
      <c r="I45" t="s">
        <v>28</v>
      </c>
      <c r="J45" t="s">
        <v>21</v>
      </c>
      <c r="K45" t="s">
        <v>22</v>
      </c>
      <c r="L45" t="s">
        <v>35</v>
      </c>
      <c r="M45" t="s">
        <v>14</v>
      </c>
    </row>
    <row r="46" spans="1:13" x14ac:dyDescent="0.3">
      <c r="A46">
        <v>25</v>
      </c>
      <c r="B46" t="s">
        <v>13</v>
      </c>
      <c r="C46" t="s">
        <v>14</v>
      </c>
      <c r="D46" t="s">
        <v>14</v>
      </c>
      <c r="E46" t="s">
        <v>16</v>
      </c>
      <c r="F46" t="s">
        <v>25</v>
      </c>
      <c r="G46" t="s">
        <v>33</v>
      </c>
      <c r="H46" t="s">
        <v>34</v>
      </c>
      <c r="I46" t="s">
        <v>28</v>
      </c>
      <c r="J46" t="s">
        <v>21</v>
      </c>
      <c r="K46" t="s">
        <v>22</v>
      </c>
      <c r="L46" t="s">
        <v>35</v>
      </c>
      <c r="M46" t="s">
        <v>14</v>
      </c>
    </row>
    <row r="47" spans="1:13" x14ac:dyDescent="0.3">
      <c r="A47">
        <v>25</v>
      </c>
      <c r="B47" t="s">
        <v>13</v>
      </c>
      <c r="C47" t="s">
        <v>14</v>
      </c>
      <c r="D47" t="s">
        <v>14</v>
      </c>
      <c r="E47" t="s">
        <v>16</v>
      </c>
      <c r="F47" t="s">
        <v>25</v>
      </c>
      <c r="G47" t="s">
        <v>33</v>
      </c>
      <c r="H47" t="s">
        <v>27</v>
      </c>
      <c r="I47" t="s">
        <v>28</v>
      </c>
      <c r="J47" t="s">
        <v>21</v>
      </c>
      <c r="K47" t="s">
        <v>22</v>
      </c>
      <c r="L47" t="s">
        <v>31</v>
      </c>
      <c r="M47" t="s">
        <v>14</v>
      </c>
    </row>
    <row r="48" spans="1:13" x14ac:dyDescent="0.3">
      <c r="A48">
        <v>25</v>
      </c>
      <c r="B48" t="s">
        <v>13</v>
      </c>
      <c r="C48" t="s">
        <v>24</v>
      </c>
      <c r="D48" t="s">
        <v>14</v>
      </c>
      <c r="E48" t="s">
        <v>16</v>
      </c>
      <c r="F48" t="s">
        <v>25</v>
      </c>
      <c r="G48" t="s">
        <v>33</v>
      </c>
      <c r="H48" t="s">
        <v>34</v>
      </c>
      <c r="I48" t="s">
        <v>28</v>
      </c>
      <c r="J48" t="s">
        <v>21</v>
      </c>
      <c r="K48" t="s">
        <v>22</v>
      </c>
      <c r="L48" t="s">
        <v>35</v>
      </c>
      <c r="M48" t="s">
        <v>14</v>
      </c>
    </row>
    <row r="49" spans="1:13" x14ac:dyDescent="0.3">
      <c r="A49">
        <v>25</v>
      </c>
      <c r="B49" t="s">
        <v>13</v>
      </c>
      <c r="C49" t="s">
        <v>14</v>
      </c>
      <c r="D49" t="s">
        <v>40</v>
      </c>
      <c r="E49" t="s">
        <v>16</v>
      </c>
      <c r="F49" t="s">
        <v>17</v>
      </c>
      <c r="G49" t="s">
        <v>18</v>
      </c>
      <c r="H49" t="s">
        <v>39</v>
      </c>
      <c r="I49" t="s">
        <v>20</v>
      </c>
      <c r="J49" t="s">
        <v>21</v>
      </c>
      <c r="K49" t="s">
        <v>22</v>
      </c>
      <c r="L49" t="s">
        <v>23</v>
      </c>
      <c r="M49" t="s">
        <v>24</v>
      </c>
    </row>
    <row r="50" spans="1:13" x14ac:dyDescent="0.3">
      <c r="A50">
        <v>25</v>
      </c>
      <c r="B50" t="s">
        <v>13</v>
      </c>
      <c r="C50" t="s">
        <v>14</v>
      </c>
      <c r="D50" t="s">
        <v>30</v>
      </c>
      <c r="E50" t="s">
        <v>16</v>
      </c>
      <c r="F50" t="s">
        <v>17</v>
      </c>
      <c r="G50" t="s">
        <v>33</v>
      </c>
      <c r="H50" t="s">
        <v>27</v>
      </c>
      <c r="I50" t="s">
        <v>20</v>
      </c>
      <c r="J50" t="s">
        <v>21</v>
      </c>
      <c r="K50" t="s">
        <v>22</v>
      </c>
      <c r="L50" t="s">
        <v>35</v>
      </c>
      <c r="M50" t="s">
        <v>14</v>
      </c>
    </row>
    <row r="51" spans="1:13" x14ac:dyDescent="0.3">
      <c r="A51">
        <v>26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27</v>
      </c>
      <c r="I51" t="s">
        <v>28</v>
      </c>
      <c r="J51" t="s">
        <v>21</v>
      </c>
      <c r="K51" t="s">
        <v>22</v>
      </c>
      <c r="L51" t="s">
        <v>35</v>
      </c>
      <c r="M51" t="s">
        <v>14</v>
      </c>
    </row>
    <row r="52" spans="1:13" x14ac:dyDescent="0.3">
      <c r="A52">
        <v>26</v>
      </c>
      <c r="B52" t="s">
        <v>13</v>
      </c>
      <c r="C52" t="s">
        <v>14</v>
      </c>
      <c r="D52" t="s">
        <v>14</v>
      </c>
      <c r="E52" t="s">
        <v>16</v>
      </c>
      <c r="F52" t="s">
        <v>25</v>
      </c>
      <c r="G52" t="s">
        <v>33</v>
      </c>
      <c r="H52" t="s">
        <v>27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</row>
    <row r="53" spans="1:13" x14ac:dyDescent="0.3">
      <c r="A53">
        <v>26</v>
      </c>
      <c r="B53" t="s">
        <v>13</v>
      </c>
      <c r="C53" t="s">
        <v>14</v>
      </c>
      <c r="D53" t="s">
        <v>14</v>
      </c>
      <c r="E53" t="s">
        <v>16</v>
      </c>
      <c r="F53" t="s">
        <v>25</v>
      </c>
      <c r="G53" t="s">
        <v>33</v>
      </c>
      <c r="H53" t="s">
        <v>27</v>
      </c>
      <c r="I53" t="s">
        <v>28</v>
      </c>
      <c r="J53" t="s">
        <v>21</v>
      </c>
      <c r="K53" t="s">
        <v>22</v>
      </c>
      <c r="L53" t="s">
        <v>35</v>
      </c>
      <c r="M53" t="s">
        <v>14</v>
      </c>
    </row>
    <row r="54" spans="1:13" x14ac:dyDescent="0.3">
      <c r="A54">
        <v>26</v>
      </c>
      <c r="B54" t="s">
        <v>13</v>
      </c>
      <c r="C54" t="s">
        <v>14</v>
      </c>
      <c r="D54" t="s">
        <v>14</v>
      </c>
      <c r="E54" t="s">
        <v>16</v>
      </c>
      <c r="F54" t="s">
        <v>25</v>
      </c>
      <c r="G54" t="s">
        <v>33</v>
      </c>
      <c r="H54" t="s">
        <v>27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</row>
    <row r="55" spans="1:13" x14ac:dyDescent="0.3">
      <c r="A55">
        <v>26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27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</row>
    <row r="56" spans="1:13" x14ac:dyDescent="0.3">
      <c r="A56">
        <v>26</v>
      </c>
      <c r="B56" t="s">
        <v>13</v>
      </c>
      <c r="C56" t="s">
        <v>14</v>
      </c>
      <c r="D56" t="s">
        <v>14</v>
      </c>
      <c r="E56" t="s">
        <v>16</v>
      </c>
      <c r="F56" t="s">
        <v>25</v>
      </c>
      <c r="G56" t="s">
        <v>33</v>
      </c>
      <c r="H56" t="s">
        <v>27</v>
      </c>
      <c r="I56" t="s">
        <v>28</v>
      </c>
      <c r="J56" t="s">
        <v>21</v>
      </c>
      <c r="K56" t="s">
        <v>22</v>
      </c>
      <c r="L56" t="s">
        <v>35</v>
      </c>
      <c r="M56" t="s">
        <v>14</v>
      </c>
    </row>
    <row r="57" spans="1:13" x14ac:dyDescent="0.3">
      <c r="A57">
        <v>26</v>
      </c>
      <c r="B57" t="s">
        <v>13</v>
      </c>
      <c r="C57" t="s">
        <v>14</v>
      </c>
      <c r="D57" t="s">
        <v>14</v>
      </c>
      <c r="E57" t="s">
        <v>43</v>
      </c>
      <c r="F57" t="s">
        <v>25</v>
      </c>
      <c r="G57" t="s">
        <v>33</v>
      </c>
      <c r="H57" t="s">
        <v>27</v>
      </c>
      <c r="I57" t="s">
        <v>28</v>
      </c>
      <c r="J57" t="s">
        <v>21</v>
      </c>
      <c r="K57" t="s">
        <v>22</v>
      </c>
      <c r="L57" t="s">
        <v>35</v>
      </c>
      <c r="M57" t="s">
        <v>14</v>
      </c>
    </row>
    <row r="58" spans="1:13" x14ac:dyDescent="0.3">
      <c r="A58">
        <v>26</v>
      </c>
      <c r="B58" t="s">
        <v>9</v>
      </c>
      <c r="C58" t="s">
        <v>14</v>
      </c>
      <c r="D58" t="s">
        <v>14</v>
      </c>
      <c r="E58" t="s">
        <v>37</v>
      </c>
      <c r="F58" t="s">
        <v>25</v>
      </c>
      <c r="G58" t="s">
        <v>33</v>
      </c>
      <c r="H58" t="s">
        <v>38</v>
      </c>
      <c r="I58" t="s">
        <v>28</v>
      </c>
      <c r="J58" t="s">
        <v>21</v>
      </c>
      <c r="K58" t="s">
        <v>22</v>
      </c>
      <c r="L58" t="s">
        <v>35</v>
      </c>
      <c r="M58" t="s">
        <v>14</v>
      </c>
    </row>
    <row r="59" spans="1:13" x14ac:dyDescent="0.3">
      <c r="A59">
        <v>26</v>
      </c>
      <c r="B59" t="s">
        <v>13</v>
      </c>
      <c r="C59" t="s">
        <v>14</v>
      </c>
      <c r="D59" t="s">
        <v>30</v>
      </c>
      <c r="E59" t="s">
        <v>16</v>
      </c>
      <c r="F59" t="s">
        <v>25</v>
      </c>
      <c r="G59" t="s">
        <v>18</v>
      </c>
      <c r="H59" t="s">
        <v>19</v>
      </c>
      <c r="I59" t="s">
        <v>36</v>
      </c>
      <c r="J59" t="s">
        <v>21</v>
      </c>
      <c r="K59" t="s">
        <v>22</v>
      </c>
      <c r="L59" t="s">
        <v>31</v>
      </c>
      <c r="M59" t="s">
        <v>14</v>
      </c>
    </row>
    <row r="60" spans="1:13" x14ac:dyDescent="0.3">
      <c r="A60">
        <v>26</v>
      </c>
      <c r="B60" t="s">
        <v>13</v>
      </c>
      <c r="C60" t="s">
        <v>14</v>
      </c>
      <c r="D60" t="s">
        <v>15</v>
      </c>
      <c r="E60" t="s">
        <v>43</v>
      </c>
      <c r="F60" t="s">
        <v>17</v>
      </c>
      <c r="G60" t="s">
        <v>26</v>
      </c>
      <c r="H60" t="s">
        <v>44</v>
      </c>
      <c r="I60" t="s">
        <v>20</v>
      </c>
      <c r="J60" t="s">
        <v>21</v>
      </c>
      <c r="K60" t="s">
        <v>22</v>
      </c>
      <c r="L60" t="s">
        <v>23</v>
      </c>
      <c r="M60" t="s">
        <v>24</v>
      </c>
    </row>
    <row r="61" spans="1:13" x14ac:dyDescent="0.3">
      <c r="A61">
        <v>26</v>
      </c>
      <c r="B61" t="s">
        <v>13</v>
      </c>
      <c r="C61" t="s">
        <v>14</v>
      </c>
      <c r="D61" t="s">
        <v>45</v>
      </c>
      <c r="E61" t="s">
        <v>16</v>
      </c>
      <c r="F61" t="s">
        <v>25</v>
      </c>
      <c r="G61" t="s">
        <v>18</v>
      </c>
      <c r="H61" t="s">
        <v>38</v>
      </c>
      <c r="I61" t="s">
        <v>20</v>
      </c>
      <c r="J61" t="s">
        <v>21</v>
      </c>
      <c r="K61" t="s">
        <v>22</v>
      </c>
      <c r="L61" t="s">
        <v>23</v>
      </c>
      <c r="M61" t="s">
        <v>24</v>
      </c>
    </row>
    <row r="62" spans="1:13" x14ac:dyDescent="0.3">
      <c r="A62">
        <v>26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18</v>
      </c>
      <c r="H62" t="s">
        <v>19</v>
      </c>
      <c r="I62" t="s">
        <v>20</v>
      </c>
      <c r="J62" t="s">
        <v>46</v>
      </c>
      <c r="K62" t="s">
        <v>22</v>
      </c>
      <c r="L62" t="s">
        <v>23</v>
      </c>
      <c r="M62" t="s">
        <v>24</v>
      </c>
    </row>
    <row r="63" spans="1:13" x14ac:dyDescent="0.3">
      <c r="A63">
        <v>27</v>
      </c>
      <c r="B63" t="s">
        <v>13</v>
      </c>
      <c r="C63" t="s">
        <v>14</v>
      </c>
      <c r="D63" t="s">
        <v>14</v>
      </c>
      <c r="E63" t="s">
        <v>43</v>
      </c>
      <c r="F63" t="s">
        <v>17</v>
      </c>
      <c r="G63" t="s">
        <v>33</v>
      </c>
      <c r="H63" t="s">
        <v>19</v>
      </c>
      <c r="I63" t="s">
        <v>28</v>
      </c>
      <c r="J63" t="s">
        <v>21</v>
      </c>
      <c r="K63" t="s">
        <v>22</v>
      </c>
      <c r="L63" t="s">
        <v>35</v>
      </c>
      <c r="M63" t="s">
        <v>14</v>
      </c>
    </row>
    <row r="64" spans="1:13" x14ac:dyDescent="0.3">
      <c r="A64">
        <v>27</v>
      </c>
      <c r="B64" t="s">
        <v>13</v>
      </c>
      <c r="C64" t="s">
        <v>14</v>
      </c>
      <c r="D64" t="s">
        <v>14</v>
      </c>
      <c r="E64" t="s">
        <v>16</v>
      </c>
      <c r="F64" t="s">
        <v>25</v>
      </c>
      <c r="G64" t="s">
        <v>33</v>
      </c>
      <c r="H64" t="s">
        <v>34</v>
      </c>
      <c r="I64" t="s">
        <v>28</v>
      </c>
      <c r="J64" t="s">
        <v>21</v>
      </c>
      <c r="K64" t="s">
        <v>22</v>
      </c>
      <c r="L64" t="s">
        <v>35</v>
      </c>
      <c r="M64" t="s">
        <v>14</v>
      </c>
    </row>
    <row r="65" spans="1:13" x14ac:dyDescent="0.3">
      <c r="A65">
        <v>27</v>
      </c>
      <c r="B65" t="s">
        <v>13</v>
      </c>
      <c r="C65" t="s">
        <v>14</v>
      </c>
      <c r="D65" t="s">
        <v>14</v>
      </c>
      <c r="E65" t="s">
        <v>16</v>
      </c>
      <c r="F65" t="s">
        <v>25</v>
      </c>
      <c r="G65" t="s">
        <v>33</v>
      </c>
      <c r="H65" t="s">
        <v>34</v>
      </c>
      <c r="I65" t="s">
        <v>28</v>
      </c>
      <c r="J65" t="s">
        <v>21</v>
      </c>
      <c r="K65" t="s">
        <v>22</v>
      </c>
      <c r="L65" t="s">
        <v>35</v>
      </c>
      <c r="M65" t="s">
        <v>14</v>
      </c>
    </row>
    <row r="66" spans="1:13" x14ac:dyDescent="0.3">
      <c r="A66">
        <v>27</v>
      </c>
      <c r="B66" t="s">
        <v>13</v>
      </c>
      <c r="C66" t="s">
        <v>14</v>
      </c>
      <c r="D66" t="s">
        <v>14</v>
      </c>
      <c r="E66" t="s">
        <v>16</v>
      </c>
      <c r="F66" t="s">
        <v>25</v>
      </c>
      <c r="G66" t="s">
        <v>33</v>
      </c>
      <c r="H66" t="s">
        <v>34</v>
      </c>
      <c r="I66" t="s">
        <v>28</v>
      </c>
      <c r="J66" t="s">
        <v>21</v>
      </c>
      <c r="K66" t="s">
        <v>22</v>
      </c>
      <c r="L66" t="s">
        <v>35</v>
      </c>
      <c r="M66" t="s">
        <v>14</v>
      </c>
    </row>
    <row r="67" spans="1:13" x14ac:dyDescent="0.3">
      <c r="A67">
        <v>27</v>
      </c>
      <c r="B67" t="s">
        <v>13</v>
      </c>
      <c r="C67" t="s">
        <v>14</v>
      </c>
      <c r="D67" t="s">
        <v>14</v>
      </c>
      <c r="E67" t="s">
        <v>16</v>
      </c>
      <c r="F67" t="s">
        <v>25</v>
      </c>
      <c r="G67" t="s">
        <v>33</v>
      </c>
      <c r="H67" t="s">
        <v>27</v>
      </c>
      <c r="I67" t="s">
        <v>28</v>
      </c>
      <c r="J67" t="s">
        <v>21</v>
      </c>
      <c r="K67" t="s">
        <v>22</v>
      </c>
      <c r="L67" t="s">
        <v>35</v>
      </c>
      <c r="M67" t="s">
        <v>14</v>
      </c>
    </row>
    <row r="68" spans="1:13" x14ac:dyDescent="0.3">
      <c r="A68">
        <v>27</v>
      </c>
      <c r="B68" t="s">
        <v>13</v>
      </c>
      <c r="C68" t="s">
        <v>14</v>
      </c>
      <c r="D68" t="s">
        <v>14</v>
      </c>
      <c r="E68" t="s">
        <v>16</v>
      </c>
      <c r="F68" t="s">
        <v>25</v>
      </c>
      <c r="G68" t="s">
        <v>33</v>
      </c>
      <c r="H68" t="s">
        <v>27</v>
      </c>
      <c r="I68" t="s">
        <v>28</v>
      </c>
      <c r="J68" t="s">
        <v>21</v>
      </c>
      <c r="K68" t="s">
        <v>22</v>
      </c>
      <c r="L68" t="s">
        <v>35</v>
      </c>
      <c r="M68" t="s">
        <v>14</v>
      </c>
    </row>
    <row r="69" spans="1:13" x14ac:dyDescent="0.3">
      <c r="A69">
        <v>27</v>
      </c>
      <c r="B69" t="s">
        <v>13</v>
      </c>
      <c r="C69" t="s">
        <v>14</v>
      </c>
      <c r="D69" t="s">
        <v>14</v>
      </c>
      <c r="E69" t="s">
        <v>16</v>
      </c>
      <c r="F69" t="s">
        <v>25</v>
      </c>
      <c r="G69" t="s">
        <v>33</v>
      </c>
      <c r="H69" t="s">
        <v>27</v>
      </c>
      <c r="I69" t="s">
        <v>28</v>
      </c>
      <c r="J69" t="s">
        <v>21</v>
      </c>
      <c r="K69" t="s">
        <v>22</v>
      </c>
      <c r="L69" t="s">
        <v>35</v>
      </c>
      <c r="M69" t="s">
        <v>14</v>
      </c>
    </row>
    <row r="70" spans="1:13" x14ac:dyDescent="0.3">
      <c r="A70">
        <v>27</v>
      </c>
      <c r="B70" t="s">
        <v>13</v>
      </c>
      <c r="C70" t="s">
        <v>14</v>
      </c>
      <c r="D70" t="s">
        <v>14</v>
      </c>
      <c r="E70" t="s">
        <v>37</v>
      </c>
      <c r="F70" t="s">
        <v>25</v>
      </c>
      <c r="G70" t="s">
        <v>33</v>
      </c>
      <c r="H70" t="s">
        <v>38</v>
      </c>
      <c r="I70" t="s">
        <v>28</v>
      </c>
      <c r="J70" t="s">
        <v>21</v>
      </c>
      <c r="K70" t="s">
        <v>22</v>
      </c>
      <c r="L70" t="s">
        <v>31</v>
      </c>
      <c r="M70" t="s">
        <v>14</v>
      </c>
    </row>
    <row r="71" spans="1:13" x14ac:dyDescent="0.3">
      <c r="A71">
        <v>27</v>
      </c>
      <c r="B71" t="s">
        <v>13</v>
      </c>
      <c r="C71" t="s">
        <v>14</v>
      </c>
      <c r="D71" t="s">
        <v>14</v>
      </c>
      <c r="E71" t="s">
        <v>42</v>
      </c>
      <c r="F71" t="s">
        <v>25</v>
      </c>
      <c r="G71" t="s">
        <v>33</v>
      </c>
      <c r="H71" t="s">
        <v>27</v>
      </c>
      <c r="I71" t="s">
        <v>28</v>
      </c>
      <c r="J71" t="s">
        <v>21</v>
      </c>
      <c r="K71" t="s">
        <v>22</v>
      </c>
      <c r="L71" t="s">
        <v>35</v>
      </c>
      <c r="M71" t="s">
        <v>14</v>
      </c>
    </row>
    <row r="72" spans="1:13" x14ac:dyDescent="0.3">
      <c r="A72">
        <v>27</v>
      </c>
      <c r="B72" t="s">
        <v>9</v>
      </c>
      <c r="C72" t="s">
        <v>14</v>
      </c>
      <c r="D72" t="s">
        <v>15</v>
      </c>
      <c r="E72" t="s">
        <v>16</v>
      </c>
      <c r="F72" t="s">
        <v>17</v>
      </c>
      <c r="G72" t="s">
        <v>18</v>
      </c>
      <c r="H72" t="s">
        <v>19</v>
      </c>
      <c r="I72" t="s">
        <v>20</v>
      </c>
      <c r="J72" t="s">
        <v>21</v>
      </c>
      <c r="K72" t="s">
        <v>22</v>
      </c>
      <c r="L72" t="s">
        <v>23</v>
      </c>
      <c r="M72" t="s">
        <v>24</v>
      </c>
    </row>
    <row r="73" spans="1:13" x14ac:dyDescent="0.3">
      <c r="A73">
        <v>27</v>
      </c>
      <c r="B73" t="s">
        <v>13</v>
      </c>
      <c r="C73" t="s">
        <v>14</v>
      </c>
      <c r="D73" t="s">
        <v>15</v>
      </c>
      <c r="E73" t="s">
        <v>16</v>
      </c>
      <c r="F73" t="s">
        <v>25</v>
      </c>
      <c r="G73" t="s">
        <v>18</v>
      </c>
      <c r="H73" t="s">
        <v>19</v>
      </c>
      <c r="I73" t="s">
        <v>20</v>
      </c>
      <c r="J73" t="s">
        <v>21</v>
      </c>
      <c r="K73" t="s">
        <v>22</v>
      </c>
      <c r="L73" t="s">
        <v>23</v>
      </c>
      <c r="M73" t="s">
        <v>24</v>
      </c>
    </row>
    <row r="74" spans="1:13" x14ac:dyDescent="0.3">
      <c r="A74">
        <v>27</v>
      </c>
      <c r="B74" t="s">
        <v>13</v>
      </c>
      <c r="C74" t="s">
        <v>14</v>
      </c>
      <c r="D74" t="s">
        <v>14</v>
      </c>
      <c r="E74" t="s">
        <v>16</v>
      </c>
      <c r="F74" t="s">
        <v>17</v>
      </c>
      <c r="G74" t="s">
        <v>33</v>
      </c>
      <c r="H74" t="s">
        <v>27</v>
      </c>
      <c r="I74" t="s">
        <v>20</v>
      </c>
      <c r="J74" t="s">
        <v>21</v>
      </c>
      <c r="K74" t="s">
        <v>22</v>
      </c>
      <c r="L74" t="s">
        <v>35</v>
      </c>
      <c r="M74" t="s">
        <v>14</v>
      </c>
    </row>
    <row r="75" spans="1:13" x14ac:dyDescent="0.3">
      <c r="A75">
        <v>27</v>
      </c>
      <c r="B75" t="s">
        <v>13</v>
      </c>
      <c r="C75" t="s">
        <v>14</v>
      </c>
      <c r="D75" t="s">
        <v>30</v>
      </c>
      <c r="E75" t="s">
        <v>16</v>
      </c>
      <c r="F75" t="s">
        <v>17</v>
      </c>
      <c r="G75" t="s">
        <v>18</v>
      </c>
      <c r="H75" t="s">
        <v>19</v>
      </c>
      <c r="I75" t="s">
        <v>20</v>
      </c>
      <c r="J75" t="s">
        <v>21</v>
      </c>
      <c r="K75" t="s">
        <v>22</v>
      </c>
      <c r="L75" t="s">
        <v>35</v>
      </c>
      <c r="M75" t="s">
        <v>14</v>
      </c>
    </row>
    <row r="76" spans="1:13" x14ac:dyDescent="0.3">
      <c r="A76">
        <v>28</v>
      </c>
      <c r="B76" t="s">
        <v>13</v>
      </c>
      <c r="C76" t="s">
        <v>14</v>
      </c>
      <c r="D76" t="s">
        <v>14</v>
      </c>
      <c r="E76" t="s">
        <v>16</v>
      </c>
      <c r="F76" t="s">
        <v>17</v>
      </c>
      <c r="G76" t="s">
        <v>33</v>
      </c>
      <c r="H76" t="s">
        <v>27</v>
      </c>
      <c r="I76" t="s">
        <v>28</v>
      </c>
      <c r="J76" t="s">
        <v>21</v>
      </c>
      <c r="K76" t="s">
        <v>22</v>
      </c>
      <c r="L76" t="s">
        <v>35</v>
      </c>
      <c r="M76" t="s">
        <v>14</v>
      </c>
    </row>
    <row r="77" spans="1:13" x14ac:dyDescent="0.3">
      <c r="A77">
        <v>28</v>
      </c>
      <c r="B77" t="s">
        <v>13</v>
      </c>
      <c r="C77" t="s">
        <v>14</v>
      </c>
      <c r="D77" t="s">
        <v>14</v>
      </c>
      <c r="E77" t="s">
        <v>16</v>
      </c>
      <c r="F77" t="s">
        <v>25</v>
      </c>
      <c r="G77" t="s">
        <v>33</v>
      </c>
      <c r="H77" t="s">
        <v>34</v>
      </c>
      <c r="I77" t="s">
        <v>28</v>
      </c>
      <c r="J77" t="s">
        <v>21</v>
      </c>
      <c r="K77" t="s">
        <v>22</v>
      </c>
      <c r="L77" t="s">
        <v>35</v>
      </c>
      <c r="M77" t="s">
        <v>14</v>
      </c>
    </row>
    <row r="78" spans="1:13" x14ac:dyDescent="0.3">
      <c r="A78">
        <v>28</v>
      </c>
      <c r="B78" t="s">
        <v>13</v>
      </c>
      <c r="C78" t="s">
        <v>14</v>
      </c>
      <c r="D78" t="s">
        <v>14</v>
      </c>
      <c r="E78" t="s">
        <v>16</v>
      </c>
      <c r="F78" t="s">
        <v>25</v>
      </c>
      <c r="G78" t="s">
        <v>33</v>
      </c>
      <c r="H78" t="s">
        <v>27</v>
      </c>
      <c r="I78" t="s">
        <v>28</v>
      </c>
      <c r="J78" t="s">
        <v>21</v>
      </c>
      <c r="K78" t="s">
        <v>22</v>
      </c>
      <c r="L78" t="s">
        <v>35</v>
      </c>
      <c r="M78" t="s">
        <v>14</v>
      </c>
    </row>
    <row r="79" spans="1:13" x14ac:dyDescent="0.3">
      <c r="A79">
        <v>28</v>
      </c>
      <c r="B79" t="s">
        <v>13</v>
      </c>
      <c r="C79" t="s">
        <v>14</v>
      </c>
      <c r="D79" t="s">
        <v>14</v>
      </c>
      <c r="E79" t="s">
        <v>16</v>
      </c>
      <c r="F79" t="s">
        <v>25</v>
      </c>
      <c r="G79" t="s">
        <v>33</v>
      </c>
      <c r="H79" t="s">
        <v>27</v>
      </c>
      <c r="I79" t="s">
        <v>28</v>
      </c>
      <c r="J79" t="s">
        <v>21</v>
      </c>
      <c r="K79" t="s">
        <v>22</v>
      </c>
      <c r="L79" t="s">
        <v>35</v>
      </c>
      <c r="M79" t="s">
        <v>14</v>
      </c>
    </row>
    <row r="80" spans="1:13" x14ac:dyDescent="0.3">
      <c r="A80">
        <v>28</v>
      </c>
      <c r="B80" t="s">
        <v>13</v>
      </c>
      <c r="C80" t="s">
        <v>14</v>
      </c>
      <c r="D80" t="s">
        <v>14</v>
      </c>
      <c r="E80" t="s">
        <v>16</v>
      </c>
      <c r="F80" t="s">
        <v>25</v>
      </c>
      <c r="G80" t="s">
        <v>33</v>
      </c>
      <c r="H80" t="s">
        <v>27</v>
      </c>
      <c r="I80" t="s">
        <v>28</v>
      </c>
      <c r="J80" t="s">
        <v>21</v>
      </c>
      <c r="K80" t="s">
        <v>22</v>
      </c>
      <c r="L80" t="s">
        <v>35</v>
      </c>
      <c r="M80" t="s">
        <v>14</v>
      </c>
    </row>
    <row r="81" spans="1:13" x14ac:dyDescent="0.3">
      <c r="A81">
        <v>28</v>
      </c>
      <c r="B81" t="s">
        <v>13</v>
      </c>
      <c r="C81" t="s">
        <v>14</v>
      </c>
      <c r="D81" t="s">
        <v>14</v>
      </c>
      <c r="E81" t="s">
        <v>16</v>
      </c>
      <c r="F81" t="s">
        <v>25</v>
      </c>
      <c r="G81" t="s">
        <v>33</v>
      </c>
      <c r="H81" t="s">
        <v>27</v>
      </c>
      <c r="I81" t="s">
        <v>28</v>
      </c>
      <c r="J81" t="s">
        <v>21</v>
      </c>
      <c r="K81" t="s">
        <v>22</v>
      </c>
      <c r="L81" t="s">
        <v>35</v>
      </c>
      <c r="M81" t="s">
        <v>14</v>
      </c>
    </row>
    <row r="82" spans="1:13" x14ac:dyDescent="0.3">
      <c r="A82">
        <v>28</v>
      </c>
      <c r="B82" t="s">
        <v>13</v>
      </c>
      <c r="C82" t="s">
        <v>14</v>
      </c>
      <c r="D82" t="s">
        <v>14</v>
      </c>
      <c r="E82" t="s">
        <v>16</v>
      </c>
      <c r="F82" t="s">
        <v>25</v>
      </c>
      <c r="G82" t="s">
        <v>33</v>
      </c>
      <c r="H82" t="s">
        <v>27</v>
      </c>
      <c r="I82" t="s">
        <v>28</v>
      </c>
      <c r="J82" t="s">
        <v>21</v>
      </c>
      <c r="K82" t="s">
        <v>22</v>
      </c>
      <c r="L82" t="s">
        <v>35</v>
      </c>
      <c r="M82" t="s">
        <v>14</v>
      </c>
    </row>
    <row r="83" spans="1:13" x14ac:dyDescent="0.3">
      <c r="A83">
        <v>28</v>
      </c>
      <c r="B83" t="s">
        <v>13</v>
      </c>
      <c r="C83" t="s">
        <v>14</v>
      </c>
      <c r="D83" t="s">
        <v>14</v>
      </c>
      <c r="E83" t="s">
        <v>16</v>
      </c>
      <c r="F83" t="s">
        <v>25</v>
      </c>
      <c r="G83" t="s">
        <v>33</v>
      </c>
      <c r="H83" t="s">
        <v>27</v>
      </c>
      <c r="I83" t="s">
        <v>28</v>
      </c>
      <c r="J83" t="s">
        <v>21</v>
      </c>
      <c r="K83" t="s">
        <v>22</v>
      </c>
      <c r="L83" t="s">
        <v>31</v>
      </c>
      <c r="M83" t="s">
        <v>14</v>
      </c>
    </row>
    <row r="84" spans="1:13" x14ac:dyDescent="0.3">
      <c r="A84">
        <v>28</v>
      </c>
      <c r="B84" t="s">
        <v>13</v>
      </c>
      <c r="C84" t="s">
        <v>14</v>
      </c>
      <c r="D84" t="s">
        <v>14</v>
      </c>
      <c r="E84" t="s">
        <v>42</v>
      </c>
      <c r="F84" t="s">
        <v>25</v>
      </c>
      <c r="G84" t="s">
        <v>33</v>
      </c>
      <c r="H84" t="s">
        <v>27</v>
      </c>
      <c r="I84" t="s">
        <v>28</v>
      </c>
      <c r="J84" t="s">
        <v>21</v>
      </c>
      <c r="K84" t="s">
        <v>22</v>
      </c>
      <c r="L84" t="s">
        <v>35</v>
      </c>
      <c r="M84" t="s">
        <v>14</v>
      </c>
    </row>
    <row r="85" spans="1:13" x14ac:dyDescent="0.3">
      <c r="A85">
        <v>28</v>
      </c>
      <c r="B85" t="s">
        <v>9</v>
      </c>
      <c r="C85" t="s">
        <v>14</v>
      </c>
      <c r="D85" t="s">
        <v>14</v>
      </c>
      <c r="E85" t="s">
        <v>16</v>
      </c>
      <c r="F85" t="s">
        <v>25</v>
      </c>
      <c r="G85" t="s">
        <v>33</v>
      </c>
      <c r="H85" t="s">
        <v>19</v>
      </c>
      <c r="I85" t="s">
        <v>28</v>
      </c>
      <c r="J85" t="s">
        <v>21</v>
      </c>
      <c r="K85" t="s">
        <v>22</v>
      </c>
      <c r="L85" t="s">
        <v>31</v>
      </c>
      <c r="M85" t="s">
        <v>14</v>
      </c>
    </row>
    <row r="86" spans="1:13" x14ac:dyDescent="0.3">
      <c r="A86">
        <v>28</v>
      </c>
      <c r="B86" t="s">
        <v>13</v>
      </c>
      <c r="C86" t="s">
        <v>14</v>
      </c>
      <c r="D86" t="s">
        <v>14</v>
      </c>
      <c r="E86" t="s">
        <v>16</v>
      </c>
      <c r="F86" t="s">
        <v>25</v>
      </c>
      <c r="G86" t="s">
        <v>33</v>
      </c>
      <c r="H86" t="s">
        <v>27</v>
      </c>
      <c r="I86" t="s">
        <v>36</v>
      </c>
      <c r="J86" t="s">
        <v>21</v>
      </c>
      <c r="K86" t="s">
        <v>22</v>
      </c>
      <c r="L86" t="s">
        <v>31</v>
      </c>
      <c r="M86" t="s">
        <v>14</v>
      </c>
    </row>
    <row r="87" spans="1:13" x14ac:dyDescent="0.3">
      <c r="A87">
        <v>28</v>
      </c>
      <c r="B87" t="s">
        <v>13</v>
      </c>
      <c r="C87" t="s">
        <v>14</v>
      </c>
      <c r="D87" t="s">
        <v>30</v>
      </c>
      <c r="E87" t="s">
        <v>16</v>
      </c>
      <c r="F87" t="s">
        <v>25</v>
      </c>
      <c r="G87" t="s">
        <v>18</v>
      </c>
      <c r="H87" t="s">
        <v>27</v>
      </c>
      <c r="I87" t="s">
        <v>20</v>
      </c>
      <c r="J87" t="s">
        <v>21</v>
      </c>
      <c r="K87" t="s">
        <v>22</v>
      </c>
      <c r="L87" t="s">
        <v>35</v>
      </c>
      <c r="M87" t="s">
        <v>14</v>
      </c>
    </row>
    <row r="88" spans="1:13" x14ac:dyDescent="0.3">
      <c r="A88">
        <v>29</v>
      </c>
      <c r="B88" t="s">
        <v>13</v>
      </c>
      <c r="C88" t="s">
        <v>14</v>
      </c>
      <c r="D88" t="s">
        <v>14</v>
      </c>
      <c r="E88" t="s">
        <v>42</v>
      </c>
      <c r="F88" t="s">
        <v>25</v>
      </c>
      <c r="G88" t="s">
        <v>33</v>
      </c>
      <c r="H88" t="s">
        <v>27</v>
      </c>
      <c r="I88" t="s">
        <v>28</v>
      </c>
      <c r="J88" t="s">
        <v>21</v>
      </c>
      <c r="K88" t="s">
        <v>22</v>
      </c>
      <c r="L88" t="s">
        <v>23</v>
      </c>
      <c r="M88" t="s">
        <v>24</v>
      </c>
    </row>
    <row r="89" spans="1:13" x14ac:dyDescent="0.3">
      <c r="A89">
        <v>29</v>
      </c>
      <c r="B89" t="s">
        <v>13</v>
      </c>
      <c r="C89" t="s">
        <v>14</v>
      </c>
      <c r="D89" t="s">
        <v>14</v>
      </c>
      <c r="E89" t="s">
        <v>16</v>
      </c>
      <c r="F89" t="s">
        <v>17</v>
      </c>
      <c r="G89" t="s">
        <v>33</v>
      </c>
      <c r="H89" t="s">
        <v>27</v>
      </c>
      <c r="I89" t="s">
        <v>28</v>
      </c>
      <c r="J89" t="s">
        <v>21</v>
      </c>
      <c r="K89" t="s">
        <v>22</v>
      </c>
      <c r="L89" t="s">
        <v>35</v>
      </c>
      <c r="M89" t="s">
        <v>14</v>
      </c>
    </row>
    <row r="90" spans="1:13" x14ac:dyDescent="0.3">
      <c r="A90">
        <v>29</v>
      </c>
      <c r="B90" t="s">
        <v>13</v>
      </c>
      <c r="C90" t="s">
        <v>14</v>
      </c>
      <c r="D90" t="s">
        <v>14</v>
      </c>
      <c r="E90" t="s">
        <v>16</v>
      </c>
      <c r="F90" t="s">
        <v>25</v>
      </c>
      <c r="G90" t="s">
        <v>33</v>
      </c>
      <c r="H90" t="s">
        <v>34</v>
      </c>
      <c r="I90" t="s">
        <v>28</v>
      </c>
      <c r="J90" t="s">
        <v>21</v>
      </c>
      <c r="K90" t="s">
        <v>22</v>
      </c>
      <c r="L90" t="s">
        <v>35</v>
      </c>
      <c r="M90" t="s">
        <v>14</v>
      </c>
    </row>
    <row r="91" spans="1:13" x14ac:dyDescent="0.3">
      <c r="A91">
        <v>29</v>
      </c>
      <c r="B91" t="s">
        <v>13</v>
      </c>
      <c r="C91" t="s">
        <v>14</v>
      </c>
      <c r="D91" t="s">
        <v>14</v>
      </c>
      <c r="E91" t="s">
        <v>16</v>
      </c>
      <c r="F91" t="s">
        <v>25</v>
      </c>
      <c r="G91" t="s">
        <v>33</v>
      </c>
      <c r="H91" t="s">
        <v>34</v>
      </c>
      <c r="I91" t="s">
        <v>28</v>
      </c>
      <c r="J91" t="s">
        <v>21</v>
      </c>
      <c r="K91" t="s">
        <v>22</v>
      </c>
      <c r="L91" t="s">
        <v>35</v>
      </c>
      <c r="M91" t="s">
        <v>14</v>
      </c>
    </row>
    <row r="92" spans="1:13" x14ac:dyDescent="0.3">
      <c r="A92">
        <v>29</v>
      </c>
      <c r="B92" t="s">
        <v>13</v>
      </c>
      <c r="C92" t="s">
        <v>14</v>
      </c>
      <c r="D92" t="s">
        <v>14</v>
      </c>
      <c r="E92" t="s">
        <v>16</v>
      </c>
      <c r="F92" t="s">
        <v>25</v>
      </c>
      <c r="G92" t="s">
        <v>33</v>
      </c>
      <c r="H92" t="s">
        <v>27</v>
      </c>
      <c r="I92" t="s">
        <v>28</v>
      </c>
      <c r="J92" t="s">
        <v>21</v>
      </c>
      <c r="K92" t="s">
        <v>22</v>
      </c>
      <c r="L92" t="s">
        <v>35</v>
      </c>
      <c r="M92" t="s">
        <v>14</v>
      </c>
    </row>
    <row r="93" spans="1:13" x14ac:dyDescent="0.3">
      <c r="A93">
        <v>29</v>
      </c>
      <c r="B93" t="s">
        <v>13</v>
      </c>
      <c r="C93" t="s">
        <v>14</v>
      </c>
      <c r="D93" t="s">
        <v>14</v>
      </c>
      <c r="E93" t="s">
        <v>16</v>
      </c>
      <c r="F93" t="s">
        <v>25</v>
      </c>
      <c r="G93" t="s">
        <v>33</v>
      </c>
      <c r="H93" t="s">
        <v>27</v>
      </c>
      <c r="I93" t="s">
        <v>28</v>
      </c>
      <c r="J93" t="s">
        <v>21</v>
      </c>
      <c r="K93" t="s">
        <v>22</v>
      </c>
      <c r="L93" t="s">
        <v>35</v>
      </c>
      <c r="M93" t="s">
        <v>14</v>
      </c>
    </row>
    <row r="94" spans="1:13" x14ac:dyDescent="0.3">
      <c r="A94">
        <v>29</v>
      </c>
      <c r="B94" t="s">
        <v>13</v>
      </c>
      <c r="C94" t="s">
        <v>14</v>
      </c>
      <c r="D94" t="s">
        <v>14</v>
      </c>
      <c r="E94" t="s">
        <v>42</v>
      </c>
      <c r="F94" t="s">
        <v>25</v>
      </c>
      <c r="G94" t="s">
        <v>33</v>
      </c>
      <c r="H94" t="s">
        <v>34</v>
      </c>
      <c r="I94" t="s">
        <v>28</v>
      </c>
      <c r="J94" t="s">
        <v>21</v>
      </c>
      <c r="K94" t="s">
        <v>22</v>
      </c>
      <c r="L94" t="s">
        <v>35</v>
      </c>
      <c r="M94" t="s">
        <v>14</v>
      </c>
    </row>
    <row r="95" spans="1:13" x14ac:dyDescent="0.3">
      <c r="A95">
        <v>29</v>
      </c>
      <c r="B95" t="s">
        <v>13</v>
      </c>
      <c r="C95" t="s">
        <v>14</v>
      </c>
      <c r="D95" t="s">
        <v>40</v>
      </c>
      <c r="E95" t="s">
        <v>16</v>
      </c>
      <c r="F95" t="s">
        <v>25</v>
      </c>
      <c r="G95" t="s">
        <v>33</v>
      </c>
      <c r="H95" t="s">
        <v>19</v>
      </c>
      <c r="I95" t="s">
        <v>36</v>
      </c>
      <c r="J95" t="s">
        <v>21</v>
      </c>
      <c r="K95" t="s">
        <v>22</v>
      </c>
      <c r="L95" t="s">
        <v>35</v>
      </c>
      <c r="M95" t="s">
        <v>14</v>
      </c>
    </row>
    <row r="96" spans="1:13" x14ac:dyDescent="0.3">
      <c r="A96">
        <v>29</v>
      </c>
      <c r="B96" t="s">
        <v>13</v>
      </c>
      <c r="C96" t="s">
        <v>14</v>
      </c>
      <c r="D96" t="s">
        <v>14</v>
      </c>
      <c r="E96" t="s">
        <v>16</v>
      </c>
      <c r="F96" t="s">
        <v>25</v>
      </c>
      <c r="G96" t="s">
        <v>33</v>
      </c>
      <c r="H96" t="s">
        <v>27</v>
      </c>
      <c r="I96" t="s">
        <v>36</v>
      </c>
      <c r="J96" t="s">
        <v>21</v>
      </c>
      <c r="K96" t="s">
        <v>22</v>
      </c>
      <c r="L96" t="s">
        <v>31</v>
      </c>
      <c r="M96" t="s">
        <v>14</v>
      </c>
    </row>
    <row r="97" spans="1:13" x14ac:dyDescent="0.3">
      <c r="A97">
        <v>29</v>
      </c>
      <c r="B97" t="s">
        <v>9</v>
      </c>
      <c r="C97" t="s">
        <v>14</v>
      </c>
      <c r="D97" t="s">
        <v>45</v>
      </c>
      <c r="E97" t="s">
        <v>16</v>
      </c>
      <c r="F97" t="s">
        <v>17</v>
      </c>
      <c r="G97" t="s">
        <v>18</v>
      </c>
      <c r="H97" t="s">
        <v>19</v>
      </c>
      <c r="I97" t="s">
        <v>20</v>
      </c>
      <c r="J97" t="s">
        <v>21</v>
      </c>
      <c r="K97" t="s">
        <v>22</v>
      </c>
      <c r="L97" t="s">
        <v>23</v>
      </c>
      <c r="M97" t="s">
        <v>24</v>
      </c>
    </row>
    <row r="98" spans="1:13" x14ac:dyDescent="0.3">
      <c r="A98">
        <v>29</v>
      </c>
      <c r="B98" t="s">
        <v>13</v>
      </c>
      <c r="C98" t="s">
        <v>14</v>
      </c>
      <c r="D98" t="s">
        <v>30</v>
      </c>
      <c r="E98" t="s">
        <v>16</v>
      </c>
      <c r="F98" t="s">
        <v>17</v>
      </c>
      <c r="G98" t="s">
        <v>18</v>
      </c>
      <c r="H98" t="s">
        <v>19</v>
      </c>
      <c r="I98" t="s">
        <v>20</v>
      </c>
      <c r="J98" t="s">
        <v>21</v>
      </c>
      <c r="K98" t="s">
        <v>22</v>
      </c>
      <c r="L98" t="s">
        <v>23</v>
      </c>
      <c r="M98" t="s">
        <v>24</v>
      </c>
    </row>
    <row r="99" spans="1:13" x14ac:dyDescent="0.3">
      <c r="A99">
        <v>30</v>
      </c>
      <c r="B99" t="s">
        <v>13</v>
      </c>
      <c r="C99" t="s">
        <v>14</v>
      </c>
      <c r="D99" t="s">
        <v>14</v>
      </c>
      <c r="E99" t="s">
        <v>16</v>
      </c>
      <c r="F99" t="s">
        <v>17</v>
      </c>
      <c r="G99" t="s">
        <v>33</v>
      </c>
      <c r="H99" t="s">
        <v>34</v>
      </c>
      <c r="I99" t="s">
        <v>28</v>
      </c>
      <c r="J99" t="s">
        <v>21</v>
      </c>
      <c r="K99" t="s">
        <v>22</v>
      </c>
      <c r="L99" t="s">
        <v>35</v>
      </c>
      <c r="M99" t="s">
        <v>14</v>
      </c>
    </row>
    <row r="100" spans="1:13" x14ac:dyDescent="0.3">
      <c r="A100">
        <v>30</v>
      </c>
      <c r="B100" t="s">
        <v>13</v>
      </c>
      <c r="C100" t="s">
        <v>14</v>
      </c>
      <c r="D100" t="s">
        <v>14</v>
      </c>
      <c r="E100" t="s">
        <v>16</v>
      </c>
      <c r="F100" t="s">
        <v>17</v>
      </c>
      <c r="G100" t="s">
        <v>33</v>
      </c>
      <c r="H100" t="s">
        <v>19</v>
      </c>
      <c r="I100" t="s">
        <v>28</v>
      </c>
      <c r="J100" t="s">
        <v>21</v>
      </c>
      <c r="K100" t="s">
        <v>22</v>
      </c>
      <c r="L100" t="s">
        <v>41</v>
      </c>
      <c r="M100" t="s">
        <v>14</v>
      </c>
    </row>
    <row r="101" spans="1:13" x14ac:dyDescent="0.3">
      <c r="A101">
        <v>30</v>
      </c>
      <c r="B101" t="s">
        <v>13</v>
      </c>
      <c r="C101" t="s">
        <v>14</v>
      </c>
      <c r="D101" t="s">
        <v>14</v>
      </c>
      <c r="E101" t="s">
        <v>16</v>
      </c>
      <c r="F101" t="s">
        <v>25</v>
      </c>
      <c r="G101" t="s">
        <v>33</v>
      </c>
      <c r="H101" t="s">
        <v>34</v>
      </c>
      <c r="I101" t="s">
        <v>28</v>
      </c>
      <c r="J101" t="s">
        <v>21</v>
      </c>
      <c r="K101" t="s">
        <v>22</v>
      </c>
      <c r="L101" t="s">
        <v>35</v>
      </c>
      <c r="M101" t="s">
        <v>14</v>
      </c>
    </row>
    <row r="102" spans="1:13" x14ac:dyDescent="0.3">
      <c r="A102">
        <v>30</v>
      </c>
      <c r="B102" t="s">
        <v>13</v>
      </c>
      <c r="C102" t="s">
        <v>14</v>
      </c>
      <c r="D102" t="s">
        <v>14</v>
      </c>
      <c r="E102" t="s">
        <v>16</v>
      </c>
      <c r="F102" t="s">
        <v>25</v>
      </c>
      <c r="G102" t="s">
        <v>33</v>
      </c>
      <c r="H102" t="s">
        <v>27</v>
      </c>
      <c r="I102" t="s">
        <v>28</v>
      </c>
      <c r="J102" t="s">
        <v>21</v>
      </c>
      <c r="K102" t="s">
        <v>22</v>
      </c>
      <c r="L102" t="s">
        <v>35</v>
      </c>
      <c r="M102" t="s">
        <v>14</v>
      </c>
    </row>
    <row r="103" spans="1:13" x14ac:dyDescent="0.3">
      <c r="A103">
        <v>30</v>
      </c>
      <c r="B103" t="s">
        <v>13</v>
      </c>
      <c r="C103" t="s">
        <v>14</v>
      </c>
      <c r="D103" t="s">
        <v>14</v>
      </c>
      <c r="E103" t="s">
        <v>16</v>
      </c>
      <c r="F103" t="s">
        <v>25</v>
      </c>
      <c r="G103" t="s">
        <v>33</v>
      </c>
      <c r="H103" t="s">
        <v>27</v>
      </c>
      <c r="I103" t="s">
        <v>28</v>
      </c>
      <c r="J103" t="s">
        <v>21</v>
      </c>
      <c r="K103" t="s">
        <v>22</v>
      </c>
      <c r="L103" t="s">
        <v>31</v>
      </c>
      <c r="M103" t="s">
        <v>14</v>
      </c>
    </row>
    <row r="104" spans="1:13" x14ac:dyDescent="0.3">
      <c r="A104">
        <v>30</v>
      </c>
      <c r="B104" t="s">
        <v>13</v>
      </c>
      <c r="C104" t="s">
        <v>14</v>
      </c>
      <c r="D104" t="s">
        <v>14</v>
      </c>
      <c r="E104" t="s">
        <v>16</v>
      </c>
      <c r="F104" t="s">
        <v>25</v>
      </c>
      <c r="G104" t="s">
        <v>33</v>
      </c>
      <c r="H104" t="s">
        <v>27</v>
      </c>
      <c r="I104" t="s">
        <v>28</v>
      </c>
      <c r="J104" t="s">
        <v>21</v>
      </c>
      <c r="K104" t="s">
        <v>22</v>
      </c>
      <c r="L104" t="s">
        <v>35</v>
      </c>
      <c r="M104" t="s">
        <v>14</v>
      </c>
    </row>
    <row r="105" spans="1:13" x14ac:dyDescent="0.3">
      <c r="A105">
        <v>30</v>
      </c>
      <c r="B105" t="s">
        <v>13</v>
      </c>
      <c r="C105" t="s">
        <v>14</v>
      </c>
      <c r="D105" t="s">
        <v>14</v>
      </c>
      <c r="E105" t="s">
        <v>37</v>
      </c>
      <c r="F105" t="s">
        <v>25</v>
      </c>
      <c r="G105" t="s">
        <v>33</v>
      </c>
      <c r="H105" t="s">
        <v>38</v>
      </c>
      <c r="I105" t="s">
        <v>28</v>
      </c>
      <c r="J105" t="s">
        <v>21</v>
      </c>
      <c r="K105" t="s">
        <v>22</v>
      </c>
      <c r="L105" t="s">
        <v>35</v>
      </c>
      <c r="M105" t="s">
        <v>14</v>
      </c>
    </row>
    <row r="106" spans="1:13" x14ac:dyDescent="0.3">
      <c r="A106">
        <v>30</v>
      </c>
      <c r="B106" t="s">
        <v>13</v>
      </c>
      <c r="C106" t="s">
        <v>14</v>
      </c>
      <c r="D106" t="s">
        <v>14</v>
      </c>
      <c r="E106" t="s">
        <v>37</v>
      </c>
      <c r="F106" t="s">
        <v>25</v>
      </c>
      <c r="G106" t="s">
        <v>33</v>
      </c>
      <c r="H106" t="s">
        <v>38</v>
      </c>
      <c r="I106" t="s">
        <v>28</v>
      </c>
      <c r="J106" t="s">
        <v>21</v>
      </c>
      <c r="K106" t="s">
        <v>22</v>
      </c>
      <c r="L106" t="s">
        <v>35</v>
      </c>
      <c r="M106" t="s">
        <v>14</v>
      </c>
    </row>
    <row r="107" spans="1:13" x14ac:dyDescent="0.3">
      <c r="A107">
        <v>30</v>
      </c>
      <c r="B107" t="s">
        <v>13</v>
      </c>
      <c r="C107" t="s">
        <v>14</v>
      </c>
      <c r="D107" t="s">
        <v>14</v>
      </c>
      <c r="E107" t="s">
        <v>16</v>
      </c>
      <c r="F107" t="s">
        <v>17</v>
      </c>
      <c r="G107" t="s">
        <v>18</v>
      </c>
      <c r="H107" t="s">
        <v>19</v>
      </c>
      <c r="I107" t="s">
        <v>28</v>
      </c>
      <c r="J107" t="s">
        <v>21</v>
      </c>
      <c r="K107" t="s">
        <v>22</v>
      </c>
      <c r="L107" t="s">
        <v>35</v>
      </c>
      <c r="M107" t="s">
        <v>14</v>
      </c>
    </row>
    <row r="108" spans="1:13" x14ac:dyDescent="0.3">
      <c r="A108">
        <v>30</v>
      </c>
      <c r="B108" t="s">
        <v>13</v>
      </c>
      <c r="C108" t="s">
        <v>14</v>
      </c>
      <c r="D108" t="s">
        <v>30</v>
      </c>
      <c r="E108" t="s">
        <v>42</v>
      </c>
      <c r="F108" t="s">
        <v>25</v>
      </c>
      <c r="G108" t="s">
        <v>33</v>
      </c>
      <c r="H108" t="s">
        <v>19</v>
      </c>
      <c r="I108" t="s">
        <v>28</v>
      </c>
      <c r="J108" t="s">
        <v>21</v>
      </c>
      <c r="K108" t="s">
        <v>22</v>
      </c>
      <c r="L108" t="s">
        <v>35</v>
      </c>
      <c r="M108" t="s">
        <v>14</v>
      </c>
    </row>
    <row r="109" spans="1:13" x14ac:dyDescent="0.3">
      <c r="A109">
        <v>30</v>
      </c>
      <c r="B109" t="s">
        <v>13</v>
      </c>
      <c r="C109" t="s">
        <v>14</v>
      </c>
      <c r="D109" t="s">
        <v>15</v>
      </c>
      <c r="E109" t="s">
        <v>16</v>
      </c>
      <c r="F109" t="s">
        <v>17</v>
      </c>
      <c r="G109" t="s">
        <v>18</v>
      </c>
      <c r="H109" t="s">
        <v>19</v>
      </c>
      <c r="I109" t="s">
        <v>20</v>
      </c>
      <c r="J109" t="s">
        <v>21</v>
      </c>
      <c r="K109" t="s">
        <v>22</v>
      </c>
      <c r="L109" t="s">
        <v>23</v>
      </c>
      <c r="M109" t="s">
        <v>24</v>
      </c>
    </row>
    <row r="110" spans="1:13" x14ac:dyDescent="0.3">
      <c r="A110">
        <v>30</v>
      </c>
      <c r="B110" t="s">
        <v>13</v>
      </c>
      <c r="C110" t="s">
        <v>14</v>
      </c>
      <c r="D110" t="s">
        <v>30</v>
      </c>
      <c r="E110" t="s">
        <v>16</v>
      </c>
      <c r="F110" t="s">
        <v>25</v>
      </c>
      <c r="G110" t="s">
        <v>18</v>
      </c>
      <c r="H110" t="s">
        <v>19</v>
      </c>
      <c r="I110" t="s">
        <v>20</v>
      </c>
      <c r="J110" t="s">
        <v>21</v>
      </c>
      <c r="K110" t="s">
        <v>22</v>
      </c>
      <c r="L110" t="s">
        <v>23</v>
      </c>
      <c r="M110" t="s">
        <v>24</v>
      </c>
    </row>
    <row r="111" spans="1:13" x14ac:dyDescent="0.3">
      <c r="A111">
        <v>31</v>
      </c>
      <c r="B111" t="s">
        <v>9</v>
      </c>
      <c r="C111" t="s">
        <v>14</v>
      </c>
      <c r="D111" t="s">
        <v>14</v>
      </c>
      <c r="E111" t="s">
        <v>16</v>
      </c>
      <c r="F111" t="s">
        <v>17</v>
      </c>
      <c r="G111" t="s">
        <v>33</v>
      </c>
      <c r="H111" t="s">
        <v>19</v>
      </c>
      <c r="I111" t="s">
        <v>28</v>
      </c>
      <c r="J111" t="s">
        <v>21</v>
      </c>
      <c r="K111" t="s">
        <v>22</v>
      </c>
      <c r="L111" t="s">
        <v>35</v>
      </c>
      <c r="M111" t="s">
        <v>14</v>
      </c>
    </row>
    <row r="112" spans="1:13" x14ac:dyDescent="0.3">
      <c r="A112">
        <v>31</v>
      </c>
      <c r="B112" t="s">
        <v>13</v>
      </c>
      <c r="C112" t="s">
        <v>14</v>
      </c>
      <c r="D112" t="s">
        <v>14</v>
      </c>
      <c r="E112" t="s">
        <v>16</v>
      </c>
      <c r="F112" t="s">
        <v>25</v>
      </c>
      <c r="G112" t="s">
        <v>33</v>
      </c>
      <c r="H112" t="s">
        <v>34</v>
      </c>
      <c r="I112" t="s">
        <v>28</v>
      </c>
      <c r="J112" t="s">
        <v>21</v>
      </c>
      <c r="K112" t="s">
        <v>22</v>
      </c>
      <c r="L112" t="s">
        <v>35</v>
      </c>
      <c r="M112" t="s">
        <v>14</v>
      </c>
    </row>
    <row r="113" spans="1:13" x14ac:dyDescent="0.3">
      <c r="A113">
        <v>31</v>
      </c>
      <c r="B113" t="s">
        <v>13</v>
      </c>
      <c r="C113" t="s">
        <v>14</v>
      </c>
      <c r="D113" t="s">
        <v>14</v>
      </c>
      <c r="E113" t="s">
        <v>16</v>
      </c>
      <c r="F113" t="s">
        <v>25</v>
      </c>
      <c r="G113" t="s">
        <v>33</v>
      </c>
      <c r="H113" t="s">
        <v>27</v>
      </c>
      <c r="I113" t="s">
        <v>28</v>
      </c>
      <c r="J113" t="s">
        <v>21</v>
      </c>
      <c r="K113" t="s">
        <v>22</v>
      </c>
      <c r="L113" t="s">
        <v>35</v>
      </c>
      <c r="M113" t="s">
        <v>14</v>
      </c>
    </row>
    <row r="114" spans="1:13" x14ac:dyDescent="0.3">
      <c r="A114">
        <v>31</v>
      </c>
      <c r="B114" t="s">
        <v>13</v>
      </c>
      <c r="C114" t="s">
        <v>14</v>
      </c>
      <c r="D114" t="s">
        <v>14</v>
      </c>
      <c r="E114" t="s">
        <v>16</v>
      </c>
      <c r="F114" t="s">
        <v>25</v>
      </c>
      <c r="G114" t="s">
        <v>33</v>
      </c>
      <c r="H114" t="s">
        <v>27</v>
      </c>
      <c r="I114" t="s">
        <v>28</v>
      </c>
      <c r="J114" t="s">
        <v>21</v>
      </c>
      <c r="K114" t="s">
        <v>22</v>
      </c>
      <c r="L114" t="s">
        <v>35</v>
      </c>
      <c r="M114" t="s">
        <v>14</v>
      </c>
    </row>
    <row r="115" spans="1:13" x14ac:dyDescent="0.3">
      <c r="A115">
        <v>31</v>
      </c>
      <c r="B115" t="s">
        <v>13</v>
      </c>
      <c r="C115" t="s">
        <v>14</v>
      </c>
      <c r="D115" t="s">
        <v>14</v>
      </c>
      <c r="E115" t="s">
        <v>16</v>
      </c>
      <c r="F115" t="s">
        <v>25</v>
      </c>
      <c r="G115" t="s">
        <v>33</v>
      </c>
      <c r="H115" t="s">
        <v>27</v>
      </c>
      <c r="I115" t="s">
        <v>28</v>
      </c>
      <c r="J115" t="s">
        <v>21</v>
      </c>
      <c r="K115" t="s">
        <v>22</v>
      </c>
      <c r="L115" t="s">
        <v>35</v>
      </c>
      <c r="M115" t="s">
        <v>14</v>
      </c>
    </row>
    <row r="116" spans="1:13" x14ac:dyDescent="0.3">
      <c r="A116">
        <v>31</v>
      </c>
      <c r="B116" t="s">
        <v>13</v>
      </c>
      <c r="C116" t="s">
        <v>14</v>
      </c>
      <c r="D116" t="s">
        <v>14</v>
      </c>
      <c r="E116" t="s">
        <v>16</v>
      </c>
      <c r="F116" t="s">
        <v>25</v>
      </c>
      <c r="G116" t="s">
        <v>33</v>
      </c>
      <c r="H116" t="s">
        <v>27</v>
      </c>
      <c r="I116" t="s">
        <v>28</v>
      </c>
      <c r="J116" t="s">
        <v>21</v>
      </c>
      <c r="K116" t="s">
        <v>22</v>
      </c>
      <c r="L116" t="s">
        <v>35</v>
      </c>
      <c r="M116" t="s">
        <v>14</v>
      </c>
    </row>
    <row r="117" spans="1:13" x14ac:dyDescent="0.3">
      <c r="A117">
        <v>31</v>
      </c>
      <c r="B117" t="s">
        <v>13</v>
      </c>
      <c r="C117" t="s">
        <v>14</v>
      </c>
      <c r="D117" t="s">
        <v>14</v>
      </c>
      <c r="E117" t="s">
        <v>37</v>
      </c>
      <c r="F117" t="s">
        <v>25</v>
      </c>
      <c r="G117" t="s">
        <v>33</v>
      </c>
      <c r="H117" t="s">
        <v>38</v>
      </c>
      <c r="I117" t="s">
        <v>28</v>
      </c>
      <c r="J117" t="s">
        <v>21</v>
      </c>
      <c r="K117" t="s">
        <v>22</v>
      </c>
      <c r="L117" t="s">
        <v>35</v>
      </c>
      <c r="M117" t="s">
        <v>14</v>
      </c>
    </row>
    <row r="118" spans="1:13" x14ac:dyDescent="0.3">
      <c r="A118">
        <v>31</v>
      </c>
      <c r="B118" t="s">
        <v>13</v>
      </c>
      <c r="C118" t="s">
        <v>14</v>
      </c>
      <c r="D118" t="s">
        <v>14</v>
      </c>
      <c r="E118" t="s">
        <v>43</v>
      </c>
      <c r="F118" t="s">
        <v>25</v>
      </c>
      <c r="G118" t="s">
        <v>33</v>
      </c>
      <c r="H118" t="s">
        <v>27</v>
      </c>
      <c r="I118" t="s">
        <v>28</v>
      </c>
      <c r="J118" t="s">
        <v>21</v>
      </c>
      <c r="K118" t="s">
        <v>22</v>
      </c>
      <c r="L118" t="s">
        <v>31</v>
      </c>
      <c r="M118" t="s">
        <v>14</v>
      </c>
    </row>
    <row r="119" spans="1:13" x14ac:dyDescent="0.3">
      <c r="A119">
        <v>31</v>
      </c>
      <c r="B119" t="s">
        <v>9</v>
      </c>
      <c r="C119" t="s">
        <v>14</v>
      </c>
      <c r="D119" t="s">
        <v>14</v>
      </c>
      <c r="E119" t="s">
        <v>16</v>
      </c>
      <c r="F119" t="s">
        <v>25</v>
      </c>
      <c r="G119" t="s">
        <v>33</v>
      </c>
      <c r="H119" t="s">
        <v>27</v>
      </c>
      <c r="I119" t="s">
        <v>28</v>
      </c>
      <c r="J119" t="s">
        <v>21</v>
      </c>
      <c r="K119" t="s">
        <v>22</v>
      </c>
      <c r="L119" t="s">
        <v>35</v>
      </c>
      <c r="M119" t="s">
        <v>14</v>
      </c>
    </row>
    <row r="120" spans="1:13" x14ac:dyDescent="0.3">
      <c r="A120">
        <v>31</v>
      </c>
      <c r="B120" t="s">
        <v>9</v>
      </c>
      <c r="C120" t="s">
        <v>14</v>
      </c>
      <c r="D120" t="s">
        <v>14</v>
      </c>
      <c r="E120" t="s">
        <v>16</v>
      </c>
      <c r="F120" t="s">
        <v>25</v>
      </c>
      <c r="G120" t="s">
        <v>33</v>
      </c>
      <c r="H120" t="s">
        <v>27</v>
      </c>
      <c r="I120" t="s">
        <v>28</v>
      </c>
      <c r="J120" t="s">
        <v>21</v>
      </c>
      <c r="K120" t="s">
        <v>22</v>
      </c>
      <c r="L120" t="s">
        <v>35</v>
      </c>
      <c r="M120" t="s">
        <v>14</v>
      </c>
    </row>
    <row r="121" spans="1:13" x14ac:dyDescent="0.3">
      <c r="A121">
        <v>31</v>
      </c>
      <c r="B121" t="s">
        <v>9</v>
      </c>
      <c r="C121" t="s">
        <v>14</v>
      </c>
      <c r="D121" t="s">
        <v>14</v>
      </c>
      <c r="E121" t="s">
        <v>16</v>
      </c>
      <c r="F121" t="s">
        <v>25</v>
      </c>
      <c r="G121" t="s">
        <v>33</v>
      </c>
      <c r="H121" t="s">
        <v>19</v>
      </c>
      <c r="I121" t="s">
        <v>28</v>
      </c>
      <c r="J121" t="s">
        <v>21</v>
      </c>
      <c r="K121" t="s">
        <v>22</v>
      </c>
      <c r="L121" t="s">
        <v>31</v>
      </c>
      <c r="M121" t="s">
        <v>14</v>
      </c>
    </row>
    <row r="122" spans="1:13" x14ac:dyDescent="0.3">
      <c r="A122">
        <v>31</v>
      </c>
      <c r="B122" t="s">
        <v>9</v>
      </c>
      <c r="C122" t="s">
        <v>14</v>
      </c>
      <c r="D122" t="s">
        <v>14</v>
      </c>
      <c r="E122" t="s">
        <v>42</v>
      </c>
      <c r="F122" t="s">
        <v>25</v>
      </c>
      <c r="G122" t="s">
        <v>33</v>
      </c>
      <c r="H122" t="s">
        <v>19</v>
      </c>
      <c r="I122" t="s">
        <v>28</v>
      </c>
      <c r="J122" t="s">
        <v>21</v>
      </c>
      <c r="K122" t="s">
        <v>22</v>
      </c>
      <c r="L122" t="s">
        <v>31</v>
      </c>
      <c r="M122" t="s">
        <v>14</v>
      </c>
    </row>
    <row r="123" spans="1:13" x14ac:dyDescent="0.3">
      <c r="A123">
        <v>31</v>
      </c>
      <c r="B123" t="s">
        <v>13</v>
      </c>
      <c r="C123" t="s">
        <v>14</v>
      </c>
      <c r="D123" t="s">
        <v>14</v>
      </c>
      <c r="E123" t="s">
        <v>37</v>
      </c>
      <c r="F123" t="s">
        <v>25</v>
      </c>
      <c r="G123" t="s">
        <v>18</v>
      </c>
      <c r="H123" t="s">
        <v>38</v>
      </c>
      <c r="I123" t="s">
        <v>28</v>
      </c>
      <c r="J123" t="s">
        <v>21</v>
      </c>
      <c r="K123" t="s">
        <v>22</v>
      </c>
      <c r="L123" t="s">
        <v>35</v>
      </c>
      <c r="M123" t="s">
        <v>14</v>
      </c>
    </row>
    <row r="124" spans="1:13" x14ac:dyDescent="0.3">
      <c r="A124">
        <v>31</v>
      </c>
      <c r="B124" t="s">
        <v>13</v>
      </c>
      <c r="C124" t="s">
        <v>14</v>
      </c>
      <c r="D124" t="s">
        <v>30</v>
      </c>
      <c r="E124" t="s">
        <v>16</v>
      </c>
      <c r="F124" t="s">
        <v>25</v>
      </c>
      <c r="G124" t="s">
        <v>33</v>
      </c>
      <c r="H124" t="s">
        <v>27</v>
      </c>
      <c r="I124" t="s">
        <v>28</v>
      </c>
      <c r="J124" t="s">
        <v>21</v>
      </c>
      <c r="K124" t="s">
        <v>22</v>
      </c>
      <c r="L124" t="s">
        <v>35</v>
      </c>
      <c r="M124" t="s">
        <v>14</v>
      </c>
    </row>
    <row r="125" spans="1:13" x14ac:dyDescent="0.3">
      <c r="A125">
        <v>31</v>
      </c>
      <c r="B125" t="s">
        <v>13</v>
      </c>
      <c r="C125" t="s">
        <v>14</v>
      </c>
      <c r="D125" t="s">
        <v>14</v>
      </c>
      <c r="E125" t="s">
        <v>42</v>
      </c>
      <c r="F125" t="s">
        <v>25</v>
      </c>
      <c r="G125" t="s">
        <v>18</v>
      </c>
      <c r="H125" t="s">
        <v>19</v>
      </c>
      <c r="I125" t="s">
        <v>36</v>
      </c>
      <c r="J125" t="s">
        <v>21</v>
      </c>
      <c r="K125" t="s">
        <v>22</v>
      </c>
      <c r="L125" t="s">
        <v>41</v>
      </c>
      <c r="M125" t="s">
        <v>24</v>
      </c>
    </row>
    <row r="126" spans="1:13" x14ac:dyDescent="0.3">
      <c r="A126">
        <v>31</v>
      </c>
      <c r="B126" t="s">
        <v>13</v>
      </c>
      <c r="C126" t="s">
        <v>14</v>
      </c>
      <c r="D126" t="s">
        <v>14</v>
      </c>
      <c r="E126" t="s">
        <v>16</v>
      </c>
      <c r="F126" t="s">
        <v>25</v>
      </c>
      <c r="G126" t="s">
        <v>33</v>
      </c>
      <c r="H126" t="s">
        <v>27</v>
      </c>
      <c r="I126" t="s">
        <v>36</v>
      </c>
      <c r="J126" t="s">
        <v>21</v>
      </c>
      <c r="K126" t="s">
        <v>22</v>
      </c>
      <c r="L126" t="s">
        <v>35</v>
      </c>
      <c r="M126" t="s">
        <v>14</v>
      </c>
    </row>
    <row r="127" spans="1:13" x14ac:dyDescent="0.3">
      <c r="A127">
        <v>31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18</v>
      </c>
      <c r="H127" t="s">
        <v>19</v>
      </c>
      <c r="I127" t="s">
        <v>20</v>
      </c>
      <c r="J127" t="s">
        <v>21</v>
      </c>
      <c r="K127" t="s">
        <v>22</v>
      </c>
      <c r="L127" t="s">
        <v>23</v>
      </c>
      <c r="M127" t="s">
        <v>24</v>
      </c>
    </row>
    <row r="128" spans="1:13" x14ac:dyDescent="0.3">
      <c r="A128">
        <v>31</v>
      </c>
      <c r="B128" t="s">
        <v>13</v>
      </c>
      <c r="C128" t="s">
        <v>14</v>
      </c>
      <c r="D128" t="s">
        <v>40</v>
      </c>
      <c r="E128" t="s">
        <v>16</v>
      </c>
      <c r="F128" t="s">
        <v>25</v>
      </c>
      <c r="G128" t="s">
        <v>18</v>
      </c>
      <c r="H128" t="s">
        <v>27</v>
      </c>
      <c r="I128" t="s">
        <v>20</v>
      </c>
      <c r="J128" t="s">
        <v>21</v>
      </c>
      <c r="K128" t="s">
        <v>22</v>
      </c>
      <c r="L128" t="s">
        <v>23</v>
      </c>
      <c r="M128" t="s">
        <v>24</v>
      </c>
    </row>
    <row r="129" spans="1:13" x14ac:dyDescent="0.3">
      <c r="A129">
        <v>31</v>
      </c>
      <c r="B129" t="s">
        <v>13</v>
      </c>
      <c r="C129" t="s">
        <v>14</v>
      </c>
      <c r="D129" t="s">
        <v>40</v>
      </c>
      <c r="E129" t="s">
        <v>16</v>
      </c>
      <c r="F129" t="s">
        <v>25</v>
      </c>
      <c r="G129" t="s">
        <v>18</v>
      </c>
      <c r="H129" t="s">
        <v>39</v>
      </c>
      <c r="I129" t="s">
        <v>20</v>
      </c>
      <c r="J129" t="s">
        <v>21</v>
      </c>
      <c r="K129" t="s">
        <v>22</v>
      </c>
      <c r="L129" t="s">
        <v>35</v>
      </c>
      <c r="M129" t="s">
        <v>24</v>
      </c>
    </row>
    <row r="130" spans="1:13" x14ac:dyDescent="0.3">
      <c r="A130">
        <v>31</v>
      </c>
      <c r="B130" t="s">
        <v>9</v>
      </c>
      <c r="C130" t="s">
        <v>14</v>
      </c>
      <c r="D130" t="s">
        <v>30</v>
      </c>
      <c r="E130" t="s">
        <v>16</v>
      </c>
      <c r="F130" t="s">
        <v>17</v>
      </c>
      <c r="G130" t="s">
        <v>18</v>
      </c>
      <c r="H130" t="s">
        <v>34</v>
      </c>
      <c r="I130" t="s">
        <v>20</v>
      </c>
      <c r="J130" t="s">
        <v>21</v>
      </c>
      <c r="K130" t="s">
        <v>22</v>
      </c>
      <c r="L130" t="s">
        <v>23</v>
      </c>
      <c r="M130" t="s">
        <v>24</v>
      </c>
    </row>
    <row r="131" spans="1:13" x14ac:dyDescent="0.3">
      <c r="A131">
        <v>31</v>
      </c>
      <c r="B131" t="s">
        <v>13</v>
      </c>
      <c r="C131" t="s">
        <v>14</v>
      </c>
      <c r="D131" t="s">
        <v>30</v>
      </c>
      <c r="E131" t="s">
        <v>16</v>
      </c>
      <c r="F131" t="s">
        <v>17</v>
      </c>
      <c r="G131" t="s">
        <v>18</v>
      </c>
      <c r="H131" t="s">
        <v>38</v>
      </c>
      <c r="I131" t="s">
        <v>20</v>
      </c>
      <c r="J131" t="s">
        <v>21</v>
      </c>
      <c r="K131" t="s">
        <v>22</v>
      </c>
      <c r="L131" t="s">
        <v>35</v>
      </c>
      <c r="M131" t="s">
        <v>14</v>
      </c>
    </row>
    <row r="132" spans="1:13" x14ac:dyDescent="0.3">
      <c r="A132">
        <v>31</v>
      </c>
      <c r="B132" t="s">
        <v>9</v>
      </c>
      <c r="C132" t="s">
        <v>24</v>
      </c>
      <c r="D132" t="s">
        <v>45</v>
      </c>
      <c r="E132" t="s">
        <v>16</v>
      </c>
      <c r="F132" t="s">
        <v>17</v>
      </c>
      <c r="G132" t="s">
        <v>26</v>
      </c>
      <c r="H132" t="s">
        <v>44</v>
      </c>
      <c r="I132" t="s">
        <v>20</v>
      </c>
      <c r="J132" t="s">
        <v>46</v>
      </c>
      <c r="K132" t="s">
        <v>47</v>
      </c>
      <c r="L132" t="s">
        <v>23</v>
      </c>
      <c r="M132" t="s">
        <v>24</v>
      </c>
    </row>
    <row r="133" spans="1:13" x14ac:dyDescent="0.3">
      <c r="A133">
        <v>32</v>
      </c>
      <c r="B133" t="s">
        <v>13</v>
      </c>
      <c r="C133" t="s">
        <v>14</v>
      </c>
      <c r="D133" t="s">
        <v>14</v>
      </c>
      <c r="E133" t="s">
        <v>43</v>
      </c>
      <c r="F133" t="s">
        <v>17</v>
      </c>
      <c r="G133" t="s">
        <v>33</v>
      </c>
      <c r="H133" t="s">
        <v>19</v>
      </c>
      <c r="I133" t="s">
        <v>28</v>
      </c>
      <c r="J133" t="s">
        <v>21</v>
      </c>
      <c r="K133" t="s">
        <v>22</v>
      </c>
      <c r="L133" t="s">
        <v>35</v>
      </c>
      <c r="M133" t="s">
        <v>14</v>
      </c>
    </row>
    <row r="134" spans="1:13" x14ac:dyDescent="0.3">
      <c r="A134">
        <v>32</v>
      </c>
      <c r="B134" t="s">
        <v>13</v>
      </c>
      <c r="C134" t="s">
        <v>14</v>
      </c>
      <c r="D134" t="s">
        <v>14</v>
      </c>
      <c r="E134" t="s">
        <v>42</v>
      </c>
      <c r="F134" t="s">
        <v>17</v>
      </c>
      <c r="G134" t="s">
        <v>33</v>
      </c>
      <c r="H134" t="s">
        <v>19</v>
      </c>
      <c r="I134" t="s">
        <v>28</v>
      </c>
      <c r="J134" t="s">
        <v>21</v>
      </c>
      <c r="K134" t="s">
        <v>22</v>
      </c>
      <c r="L134" t="s">
        <v>31</v>
      </c>
      <c r="M134" t="s">
        <v>14</v>
      </c>
    </row>
    <row r="135" spans="1:13" x14ac:dyDescent="0.3">
      <c r="A135">
        <v>32</v>
      </c>
      <c r="B135" t="s">
        <v>13</v>
      </c>
      <c r="C135" t="s">
        <v>14</v>
      </c>
      <c r="D135" t="s">
        <v>14</v>
      </c>
      <c r="E135" t="s">
        <v>16</v>
      </c>
      <c r="F135" t="s">
        <v>25</v>
      </c>
      <c r="G135" t="s">
        <v>33</v>
      </c>
      <c r="H135" t="s">
        <v>27</v>
      </c>
      <c r="I135" t="s">
        <v>28</v>
      </c>
      <c r="J135" t="s">
        <v>21</v>
      </c>
      <c r="K135" t="s">
        <v>22</v>
      </c>
      <c r="L135" t="s">
        <v>35</v>
      </c>
      <c r="M135" t="s">
        <v>14</v>
      </c>
    </row>
    <row r="136" spans="1:13" x14ac:dyDescent="0.3">
      <c r="A136">
        <v>32</v>
      </c>
      <c r="B136" t="s">
        <v>13</v>
      </c>
      <c r="C136" t="s">
        <v>14</v>
      </c>
      <c r="D136" t="s">
        <v>14</v>
      </c>
      <c r="E136" t="s">
        <v>16</v>
      </c>
      <c r="F136" t="s">
        <v>25</v>
      </c>
      <c r="G136" t="s">
        <v>33</v>
      </c>
      <c r="H136" t="s">
        <v>27</v>
      </c>
      <c r="I136" t="s">
        <v>28</v>
      </c>
      <c r="J136" t="s">
        <v>21</v>
      </c>
      <c r="K136" t="s">
        <v>22</v>
      </c>
      <c r="L136" t="s">
        <v>35</v>
      </c>
      <c r="M136" t="s">
        <v>14</v>
      </c>
    </row>
    <row r="137" spans="1:13" x14ac:dyDescent="0.3">
      <c r="A137">
        <v>32</v>
      </c>
      <c r="B137" t="s">
        <v>13</v>
      </c>
      <c r="C137" t="s">
        <v>14</v>
      </c>
      <c r="D137" t="s">
        <v>14</v>
      </c>
      <c r="E137" t="s">
        <v>16</v>
      </c>
      <c r="F137" t="s">
        <v>25</v>
      </c>
      <c r="G137" t="s">
        <v>33</v>
      </c>
      <c r="H137" t="s">
        <v>27</v>
      </c>
      <c r="I137" t="s">
        <v>28</v>
      </c>
      <c r="J137" t="s">
        <v>21</v>
      </c>
      <c r="K137" t="s">
        <v>22</v>
      </c>
      <c r="L137" t="s">
        <v>35</v>
      </c>
      <c r="M137" t="s">
        <v>14</v>
      </c>
    </row>
    <row r="138" spans="1:13" x14ac:dyDescent="0.3">
      <c r="A138">
        <v>32</v>
      </c>
      <c r="B138" t="s">
        <v>13</v>
      </c>
      <c r="C138" t="s">
        <v>14</v>
      </c>
      <c r="D138" t="s">
        <v>14</v>
      </c>
      <c r="E138" t="s">
        <v>16</v>
      </c>
      <c r="F138" t="s">
        <v>25</v>
      </c>
      <c r="G138" t="s">
        <v>33</v>
      </c>
      <c r="H138" t="s">
        <v>19</v>
      </c>
      <c r="I138" t="s">
        <v>28</v>
      </c>
      <c r="J138" t="s">
        <v>21</v>
      </c>
      <c r="K138" t="s">
        <v>22</v>
      </c>
      <c r="L138" t="s">
        <v>35</v>
      </c>
      <c r="M138" t="s">
        <v>14</v>
      </c>
    </row>
    <row r="139" spans="1:13" x14ac:dyDescent="0.3">
      <c r="A139">
        <v>32</v>
      </c>
      <c r="B139" t="s">
        <v>13</v>
      </c>
      <c r="C139" t="s">
        <v>14</v>
      </c>
      <c r="D139" t="s">
        <v>14</v>
      </c>
      <c r="E139" t="s">
        <v>16</v>
      </c>
      <c r="F139" t="s">
        <v>17</v>
      </c>
      <c r="G139" t="s">
        <v>18</v>
      </c>
      <c r="H139" t="s">
        <v>19</v>
      </c>
      <c r="I139" t="s">
        <v>28</v>
      </c>
      <c r="J139" t="s">
        <v>21</v>
      </c>
      <c r="K139" t="s">
        <v>22</v>
      </c>
      <c r="L139" t="s">
        <v>41</v>
      </c>
      <c r="M139" t="s">
        <v>14</v>
      </c>
    </row>
    <row r="140" spans="1:13" x14ac:dyDescent="0.3">
      <c r="A140">
        <v>32</v>
      </c>
      <c r="B140" t="s">
        <v>13</v>
      </c>
      <c r="C140" t="s">
        <v>14</v>
      </c>
      <c r="D140" t="s">
        <v>14</v>
      </c>
      <c r="E140" t="s">
        <v>16</v>
      </c>
      <c r="F140" t="s">
        <v>17</v>
      </c>
      <c r="G140" t="s">
        <v>18</v>
      </c>
      <c r="H140" t="s">
        <v>44</v>
      </c>
      <c r="I140" t="s">
        <v>28</v>
      </c>
      <c r="J140" t="s">
        <v>21</v>
      </c>
      <c r="K140" t="s">
        <v>22</v>
      </c>
      <c r="L140" t="s">
        <v>35</v>
      </c>
      <c r="M140" t="s">
        <v>14</v>
      </c>
    </row>
    <row r="141" spans="1:13" x14ac:dyDescent="0.3">
      <c r="A141">
        <v>32</v>
      </c>
      <c r="B141" t="s">
        <v>9</v>
      </c>
      <c r="C141" t="s">
        <v>14</v>
      </c>
      <c r="D141" t="s">
        <v>15</v>
      </c>
      <c r="E141" t="s">
        <v>16</v>
      </c>
      <c r="F141" t="s">
        <v>17</v>
      </c>
      <c r="G141" t="s">
        <v>18</v>
      </c>
      <c r="H141" t="s">
        <v>39</v>
      </c>
      <c r="I141" t="s">
        <v>20</v>
      </c>
      <c r="J141" t="s">
        <v>21</v>
      </c>
      <c r="K141" t="s">
        <v>22</v>
      </c>
      <c r="L141" t="s">
        <v>23</v>
      </c>
      <c r="M141" t="s">
        <v>24</v>
      </c>
    </row>
    <row r="142" spans="1:13" x14ac:dyDescent="0.3">
      <c r="A142">
        <v>32</v>
      </c>
      <c r="B142" t="s">
        <v>13</v>
      </c>
      <c r="C142" t="s">
        <v>14</v>
      </c>
      <c r="D142" t="s">
        <v>40</v>
      </c>
      <c r="E142" t="s">
        <v>16</v>
      </c>
      <c r="F142" t="s">
        <v>17</v>
      </c>
      <c r="G142" t="s">
        <v>18</v>
      </c>
      <c r="H142" t="s">
        <v>19</v>
      </c>
      <c r="I142" t="s">
        <v>20</v>
      </c>
      <c r="J142" t="s">
        <v>21</v>
      </c>
      <c r="K142" t="s">
        <v>22</v>
      </c>
      <c r="L142" t="s">
        <v>23</v>
      </c>
      <c r="M142" t="s">
        <v>24</v>
      </c>
    </row>
    <row r="143" spans="1:13" x14ac:dyDescent="0.3">
      <c r="A143">
        <v>33</v>
      </c>
      <c r="B143" t="s">
        <v>9</v>
      </c>
      <c r="C143" t="s">
        <v>14</v>
      </c>
      <c r="D143" t="s">
        <v>14</v>
      </c>
      <c r="E143" t="s">
        <v>16</v>
      </c>
      <c r="F143" t="s">
        <v>25</v>
      </c>
      <c r="G143" t="s">
        <v>33</v>
      </c>
      <c r="H143" t="s">
        <v>27</v>
      </c>
      <c r="I143" t="s">
        <v>28</v>
      </c>
      <c r="J143" t="s">
        <v>21</v>
      </c>
      <c r="K143" t="s">
        <v>22</v>
      </c>
      <c r="L143" t="s">
        <v>23</v>
      </c>
      <c r="M143" t="s">
        <v>24</v>
      </c>
    </row>
    <row r="144" spans="1:13" x14ac:dyDescent="0.3">
      <c r="A144">
        <v>33</v>
      </c>
      <c r="B144" t="s">
        <v>13</v>
      </c>
      <c r="C144" t="s">
        <v>14</v>
      </c>
      <c r="D144" t="s">
        <v>14</v>
      </c>
      <c r="E144" t="s">
        <v>16</v>
      </c>
      <c r="F144" t="s">
        <v>25</v>
      </c>
      <c r="G144" t="s">
        <v>33</v>
      </c>
      <c r="H144" t="s">
        <v>27</v>
      </c>
      <c r="I144" t="s">
        <v>28</v>
      </c>
      <c r="J144" t="s">
        <v>21</v>
      </c>
      <c r="K144" t="s">
        <v>22</v>
      </c>
      <c r="L144" t="s">
        <v>35</v>
      </c>
      <c r="M144" t="s">
        <v>14</v>
      </c>
    </row>
    <row r="145" spans="1:13" x14ac:dyDescent="0.3">
      <c r="A145">
        <v>33</v>
      </c>
      <c r="B145" t="s">
        <v>13</v>
      </c>
      <c r="C145" t="s">
        <v>14</v>
      </c>
      <c r="D145" t="s">
        <v>14</v>
      </c>
      <c r="E145" t="s">
        <v>16</v>
      </c>
      <c r="F145" t="s">
        <v>25</v>
      </c>
      <c r="G145" t="s">
        <v>33</v>
      </c>
      <c r="H145" t="s">
        <v>27</v>
      </c>
      <c r="I145" t="s">
        <v>28</v>
      </c>
      <c r="J145" t="s">
        <v>21</v>
      </c>
      <c r="K145" t="s">
        <v>22</v>
      </c>
      <c r="L145" t="s">
        <v>35</v>
      </c>
      <c r="M145" t="s">
        <v>14</v>
      </c>
    </row>
    <row r="146" spans="1:13" x14ac:dyDescent="0.3">
      <c r="A146">
        <v>33</v>
      </c>
      <c r="B146" t="s">
        <v>13</v>
      </c>
      <c r="C146" t="s">
        <v>14</v>
      </c>
      <c r="D146" t="s">
        <v>14</v>
      </c>
      <c r="E146" t="s">
        <v>16</v>
      </c>
      <c r="F146" t="s">
        <v>25</v>
      </c>
      <c r="G146" t="s">
        <v>33</v>
      </c>
      <c r="H146" t="s">
        <v>27</v>
      </c>
      <c r="I146" t="s">
        <v>28</v>
      </c>
      <c r="J146" t="s">
        <v>21</v>
      </c>
      <c r="K146" t="s">
        <v>22</v>
      </c>
      <c r="L146" t="s">
        <v>35</v>
      </c>
      <c r="M146" t="s">
        <v>14</v>
      </c>
    </row>
    <row r="147" spans="1:13" x14ac:dyDescent="0.3">
      <c r="A147">
        <v>33</v>
      </c>
      <c r="B147" t="s">
        <v>13</v>
      </c>
      <c r="C147" t="s">
        <v>14</v>
      </c>
      <c r="D147" t="s">
        <v>14</v>
      </c>
      <c r="E147" t="s">
        <v>37</v>
      </c>
      <c r="F147" t="s">
        <v>25</v>
      </c>
      <c r="G147" t="s">
        <v>33</v>
      </c>
      <c r="H147" t="s">
        <v>38</v>
      </c>
      <c r="I147" t="s">
        <v>28</v>
      </c>
      <c r="J147" t="s">
        <v>21</v>
      </c>
      <c r="K147" t="s">
        <v>22</v>
      </c>
      <c r="L147" t="s">
        <v>35</v>
      </c>
      <c r="M147" t="s">
        <v>14</v>
      </c>
    </row>
    <row r="148" spans="1:13" x14ac:dyDescent="0.3">
      <c r="A148">
        <v>33</v>
      </c>
      <c r="B148" t="s">
        <v>13</v>
      </c>
      <c r="C148" t="s">
        <v>14</v>
      </c>
      <c r="D148" t="s">
        <v>14</v>
      </c>
      <c r="E148" t="s">
        <v>37</v>
      </c>
      <c r="F148" t="s">
        <v>25</v>
      </c>
      <c r="G148" t="s">
        <v>33</v>
      </c>
      <c r="H148" t="s">
        <v>38</v>
      </c>
      <c r="I148" t="s">
        <v>28</v>
      </c>
      <c r="J148" t="s">
        <v>21</v>
      </c>
      <c r="K148" t="s">
        <v>22</v>
      </c>
      <c r="L148" t="s">
        <v>35</v>
      </c>
      <c r="M148" t="s">
        <v>14</v>
      </c>
    </row>
    <row r="149" spans="1:13" x14ac:dyDescent="0.3">
      <c r="A149">
        <v>33</v>
      </c>
      <c r="B149" t="s">
        <v>13</v>
      </c>
      <c r="C149" t="s">
        <v>14</v>
      </c>
      <c r="D149" t="s">
        <v>30</v>
      </c>
      <c r="E149" t="s">
        <v>16</v>
      </c>
      <c r="F149" t="s">
        <v>25</v>
      </c>
      <c r="G149" t="s">
        <v>33</v>
      </c>
      <c r="H149" t="s">
        <v>27</v>
      </c>
      <c r="I149" t="s">
        <v>28</v>
      </c>
      <c r="J149" t="s">
        <v>21</v>
      </c>
      <c r="K149" t="s">
        <v>22</v>
      </c>
      <c r="L149" t="s">
        <v>35</v>
      </c>
      <c r="M149" t="s">
        <v>14</v>
      </c>
    </row>
    <row r="150" spans="1:13" x14ac:dyDescent="0.3">
      <c r="A150">
        <v>33</v>
      </c>
      <c r="B150" t="s">
        <v>13</v>
      </c>
      <c r="C150" t="s">
        <v>14</v>
      </c>
      <c r="D150" t="s">
        <v>14</v>
      </c>
      <c r="E150" t="s">
        <v>16</v>
      </c>
      <c r="F150" t="s">
        <v>25</v>
      </c>
      <c r="G150" t="s">
        <v>33</v>
      </c>
      <c r="H150" t="s">
        <v>27</v>
      </c>
      <c r="I150" t="s">
        <v>36</v>
      </c>
      <c r="J150" t="s">
        <v>21</v>
      </c>
      <c r="K150" t="s">
        <v>22</v>
      </c>
      <c r="L150" t="s">
        <v>31</v>
      </c>
      <c r="M150" t="s">
        <v>14</v>
      </c>
    </row>
    <row r="151" spans="1:13" x14ac:dyDescent="0.3">
      <c r="A151">
        <v>33</v>
      </c>
      <c r="B151" t="s">
        <v>9</v>
      </c>
      <c r="C151" t="s">
        <v>14</v>
      </c>
      <c r="D151" t="s">
        <v>15</v>
      </c>
      <c r="E151" t="s">
        <v>16</v>
      </c>
      <c r="F151" t="s">
        <v>25</v>
      </c>
      <c r="G151" t="s">
        <v>18</v>
      </c>
      <c r="H151" t="s">
        <v>19</v>
      </c>
      <c r="I151" t="s">
        <v>20</v>
      </c>
      <c r="J151" t="s">
        <v>21</v>
      </c>
      <c r="K151" t="s">
        <v>22</v>
      </c>
      <c r="L151" t="s">
        <v>23</v>
      </c>
      <c r="M151" t="s">
        <v>24</v>
      </c>
    </row>
    <row r="152" spans="1:13" x14ac:dyDescent="0.3">
      <c r="A152">
        <v>33</v>
      </c>
      <c r="B152" t="s">
        <v>13</v>
      </c>
      <c r="C152" t="s">
        <v>14</v>
      </c>
      <c r="D152" t="s">
        <v>30</v>
      </c>
      <c r="E152" t="s">
        <v>16</v>
      </c>
      <c r="F152" t="s">
        <v>17</v>
      </c>
      <c r="G152" t="s">
        <v>18</v>
      </c>
      <c r="H152" t="s">
        <v>19</v>
      </c>
      <c r="I152" t="s">
        <v>20</v>
      </c>
      <c r="J152" t="s">
        <v>21</v>
      </c>
      <c r="K152" t="s">
        <v>22</v>
      </c>
      <c r="L152" t="s">
        <v>41</v>
      </c>
      <c r="M152" t="s">
        <v>24</v>
      </c>
    </row>
    <row r="153" spans="1:13" x14ac:dyDescent="0.3">
      <c r="A153">
        <v>33</v>
      </c>
      <c r="B153" t="s">
        <v>9</v>
      </c>
      <c r="C153" t="s">
        <v>14</v>
      </c>
      <c r="D153" t="s">
        <v>14</v>
      </c>
      <c r="E153" t="s">
        <v>16</v>
      </c>
      <c r="F153" t="s">
        <v>25</v>
      </c>
      <c r="G153" t="s">
        <v>33</v>
      </c>
      <c r="H153" t="s">
        <v>27</v>
      </c>
      <c r="I153" t="s">
        <v>20</v>
      </c>
      <c r="J153" t="s">
        <v>21</v>
      </c>
      <c r="K153" t="s">
        <v>22</v>
      </c>
      <c r="L153" t="s">
        <v>35</v>
      </c>
      <c r="M153" t="s">
        <v>14</v>
      </c>
    </row>
    <row r="154" spans="1:13" x14ac:dyDescent="0.3">
      <c r="A154">
        <v>33</v>
      </c>
      <c r="B154" t="s">
        <v>13</v>
      </c>
      <c r="C154" t="s">
        <v>14</v>
      </c>
      <c r="D154" t="s">
        <v>14</v>
      </c>
      <c r="E154" t="s">
        <v>16</v>
      </c>
      <c r="F154" t="s">
        <v>25</v>
      </c>
      <c r="G154" t="s">
        <v>18</v>
      </c>
      <c r="H154" t="s">
        <v>34</v>
      </c>
      <c r="I154" t="s">
        <v>20</v>
      </c>
      <c r="J154" t="s">
        <v>21</v>
      </c>
      <c r="K154" t="s">
        <v>22</v>
      </c>
      <c r="L154" t="s">
        <v>31</v>
      </c>
      <c r="M154" t="s">
        <v>14</v>
      </c>
    </row>
    <row r="155" spans="1:13" x14ac:dyDescent="0.3">
      <c r="A155">
        <v>34</v>
      </c>
      <c r="B155" t="s">
        <v>13</v>
      </c>
      <c r="C155" t="s">
        <v>14</v>
      </c>
      <c r="D155" t="s">
        <v>14</v>
      </c>
      <c r="E155" t="s">
        <v>16</v>
      </c>
      <c r="F155" t="s">
        <v>25</v>
      </c>
      <c r="G155" t="s">
        <v>33</v>
      </c>
      <c r="H155" t="s">
        <v>19</v>
      </c>
      <c r="I155" t="s">
        <v>28</v>
      </c>
      <c r="J155" t="s">
        <v>21</v>
      </c>
      <c r="K155" t="s">
        <v>22</v>
      </c>
      <c r="L155" t="s">
        <v>23</v>
      </c>
      <c r="M155" t="s">
        <v>24</v>
      </c>
    </row>
    <row r="156" spans="1:13" x14ac:dyDescent="0.3">
      <c r="A156">
        <v>34</v>
      </c>
      <c r="B156" t="s">
        <v>13</v>
      </c>
      <c r="C156" t="s">
        <v>14</v>
      </c>
      <c r="D156" t="s">
        <v>14</v>
      </c>
      <c r="E156" t="s">
        <v>16</v>
      </c>
      <c r="F156" t="s">
        <v>25</v>
      </c>
      <c r="G156" t="s">
        <v>33</v>
      </c>
      <c r="H156" t="s">
        <v>27</v>
      </c>
      <c r="I156" t="s">
        <v>28</v>
      </c>
      <c r="J156" t="s">
        <v>21</v>
      </c>
      <c r="K156" t="s">
        <v>22</v>
      </c>
      <c r="L156" t="s">
        <v>35</v>
      </c>
      <c r="M156" t="s">
        <v>14</v>
      </c>
    </row>
    <row r="157" spans="1:13" x14ac:dyDescent="0.3">
      <c r="A157">
        <v>34</v>
      </c>
      <c r="B157" t="s">
        <v>13</v>
      </c>
      <c r="C157" t="s">
        <v>14</v>
      </c>
      <c r="D157" t="s">
        <v>14</v>
      </c>
      <c r="E157" t="s">
        <v>16</v>
      </c>
      <c r="F157" t="s">
        <v>25</v>
      </c>
      <c r="G157" t="s">
        <v>33</v>
      </c>
      <c r="H157" t="s">
        <v>27</v>
      </c>
      <c r="I157" t="s">
        <v>28</v>
      </c>
      <c r="J157" t="s">
        <v>21</v>
      </c>
      <c r="K157" t="s">
        <v>22</v>
      </c>
      <c r="L157" t="s">
        <v>35</v>
      </c>
      <c r="M157" t="s">
        <v>14</v>
      </c>
    </row>
    <row r="158" spans="1:13" x14ac:dyDescent="0.3">
      <c r="A158">
        <v>34</v>
      </c>
      <c r="B158" t="s">
        <v>13</v>
      </c>
      <c r="C158" t="s">
        <v>14</v>
      </c>
      <c r="D158" t="s">
        <v>14</v>
      </c>
      <c r="E158" t="s">
        <v>16</v>
      </c>
      <c r="F158" t="s">
        <v>25</v>
      </c>
      <c r="G158" t="s">
        <v>33</v>
      </c>
      <c r="H158" t="s">
        <v>19</v>
      </c>
      <c r="I158" t="s">
        <v>28</v>
      </c>
      <c r="J158" t="s">
        <v>21</v>
      </c>
      <c r="K158" t="s">
        <v>22</v>
      </c>
      <c r="L158" t="s">
        <v>35</v>
      </c>
      <c r="M158" t="s">
        <v>14</v>
      </c>
    </row>
    <row r="159" spans="1:13" x14ac:dyDescent="0.3">
      <c r="A159">
        <v>34</v>
      </c>
      <c r="B159" t="s">
        <v>13</v>
      </c>
      <c r="C159" t="s">
        <v>14</v>
      </c>
      <c r="D159" t="s">
        <v>14</v>
      </c>
      <c r="E159" t="s">
        <v>37</v>
      </c>
      <c r="F159" t="s">
        <v>25</v>
      </c>
      <c r="G159" t="s">
        <v>33</v>
      </c>
      <c r="H159" t="s">
        <v>38</v>
      </c>
      <c r="I159" t="s">
        <v>28</v>
      </c>
      <c r="J159" t="s">
        <v>21</v>
      </c>
      <c r="K159" t="s">
        <v>22</v>
      </c>
      <c r="L159" t="s">
        <v>35</v>
      </c>
      <c r="M159" t="s">
        <v>14</v>
      </c>
    </row>
    <row r="160" spans="1:13" x14ac:dyDescent="0.3">
      <c r="A160">
        <v>34</v>
      </c>
      <c r="B160" t="s">
        <v>13</v>
      </c>
      <c r="C160" t="s">
        <v>14</v>
      </c>
      <c r="D160" t="s">
        <v>14</v>
      </c>
      <c r="E160" t="s">
        <v>37</v>
      </c>
      <c r="F160" t="s">
        <v>25</v>
      </c>
      <c r="G160" t="s">
        <v>33</v>
      </c>
      <c r="H160" t="s">
        <v>38</v>
      </c>
      <c r="I160" t="s">
        <v>28</v>
      </c>
      <c r="J160" t="s">
        <v>21</v>
      </c>
      <c r="K160" t="s">
        <v>22</v>
      </c>
      <c r="L160" t="s">
        <v>35</v>
      </c>
      <c r="M160" t="s">
        <v>14</v>
      </c>
    </row>
    <row r="161" spans="1:13" x14ac:dyDescent="0.3">
      <c r="A161">
        <v>34</v>
      </c>
      <c r="B161" t="s">
        <v>13</v>
      </c>
      <c r="C161" t="s">
        <v>14</v>
      </c>
      <c r="D161" t="s">
        <v>14</v>
      </c>
      <c r="E161" t="s">
        <v>16</v>
      </c>
      <c r="F161" t="s">
        <v>25</v>
      </c>
      <c r="G161" t="s">
        <v>18</v>
      </c>
      <c r="H161" t="s">
        <v>19</v>
      </c>
      <c r="I161" t="s">
        <v>28</v>
      </c>
      <c r="J161" t="s">
        <v>21</v>
      </c>
      <c r="K161" t="s">
        <v>22</v>
      </c>
      <c r="L161" t="s">
        <v>35</v>
      </c>
      <c r="M161" t="s">
        <v>14</v>
      </c>
    </row>
    <row r="162" spans="1:13" x14ac:dyDescent="0.3">
      <c r="A162">
        <v>34</v>
      </c>
      <c r="B162" t="s">
        <v>13</v>
      </c>
      <c r="C162" t="s">
        <v>14</v>
      </c>
      <c r="D162" t="s">
        <v>14</v>
      </c>
      <c r="E162" t="s">
        <v>16</v>
      </c>
      <c r="F162" t="s">
        <v>25</v>
      </c>
      <c r="G162" t="s">
        <v>26</v>
      </c>
      <c r="H162" t="s">
        <v>19</v>
      </c>
      <c r="I162" t="s">
        <v>36</v>
      </c>
      <c r="J162" t="s">
        <v>21</v>
      </c>
      <c r="K162" t="s">
        <v>22</v>
      </c>
      <c r="L162" t="s">
        <v>41</v>
      </c>
      <c r="M162" t="s">
        <v>24</v>
      </c>
    </row>
    <row r="163" spans="1:13" x14ac:dyDescent="0.3">
      <c r="A163">
        <v>34</v>
      </c>
      <c r="B163" t="s">
        <v>13</v>
      </c>
      <c r="C163" t="s">
        <v>14</v>
      </c>
      <c r="D163" t="s">
        <v>30</v>
      </c>
      <c r="E163" t="s">
        <v>16</v>
      </c>
      <c r="F163" t="s">
        <v>25</v>
      </c>
      <c r="G163" t="s">
        <v>18</v>
      </c>
      <c r="H163" t="s">
        <v>27</v>
      </c>
      <c r="I163" t="s">
        <v>20</v>
      </c>
      <c r="J163" t="s">
        <v>21</v>
      </c>
      <c r="K163" t="s">
        <v>22</v>
      </c>
      <c r="L163" t="s">
        <v>23</v>
      </c>
      <c r="M163" t="s">
        <v>24</v>
      </c>
    </row>
    <row r="164" spans="1:13" x14ac:dyDescent="0.3">
      <c r="A164">
        <v>34</v>
      </c>
      <c r="B164" t="s">
        <v>13</v>
      </c>
      <c r="C164" t="s">
        <v>14</v>
      </c>
      <c r="D164" t="s">
        <v>30</v>
      </c>
      <c r="E164" t="s">
        <v>16</v>
      </c>
      <c r="F164" t="s">
        <v>25</v>
      </c>
      <c r="G164" t="s">
        <v>26</v>
      </c>
      <c r="H164" t="s">
        <v>44</v>
      </c>
      <c r="I164" t="s">
        <v>20</v>
      </c>
      <c r="J164" t="s">
        <v>21</v>
      </c>
      <c r="K164" t="s">
        <v>22</v>
      </c>
      <c r="L164" t="s">
        <v>23</v>
      </c>
      <c r="M164" t="s">
        <v>24</v>
      </c>
    </row>
    <row r="165" spans="1:13" x14ac:dyDescent="0.3">
      <c r="A165">
        <v>34</v>
      </c>
      <c r="B165" t="s">
        <v>13</v>
      </c>
      <c r="C165" t="s">
        <v>14</v>
      </c>
      <c r="D165" t="s">
        <v>15</v>
      </c>
      <c r="E165" t="s">
        <v>16</v>
      </c>
      <c r="F165" t="s">
        <v>25</v>
      </c>
      <c r="G165" t="s">
        <v>18</v>
      </c>
      <c r="H165" t="s">
        <v>19</v>
      </c>
      <c r="I165" t="s">
        <v>20</v>
      </c>
      <c r="J165" t="s">
        <v>21</v>
      </c>
      <c r="K165" t="s">
        <v>22</v>
      </c>
      <c r="L165" t="s">
        <v>31</v>
      </c>
      <c r="M165" t="s">
        <v>14</v>
      </c>
    </row>
    <row r="166" spans="1:13" x14ac:dyDescent="0.3">
      <c r="A166">
        <v>35</v>
      </c>
      <c r="B166" t="s">
        <v>13</v>
      </c>
      <c r="C166" t="s">
        <v>14</v>
      </c>
      <c r="D166" t="s">
        <v>14</v>
      </c>
      <c r="E166" t="s">
        <v>16</v>
      </c>
      <c r="F166" t="s">
        <v>17</v>
      </c>
      <c r="G166" t="s">
        <v>33</v>
      </c>
      <c r="H166" t="s">
        <v>27</v>
      </c>
      <c r="I166" t="s">
        <v>28</v>
      </c>
      <c r="J166" t="s">
        <v>21</v>
      </c>
      <c r="K166" t="s">
        <v>22</v>
      </c>
      <c r="L166" t="s">
        <v>35</v>
      </c>
      <c r="M166" t="s">
        <v>14</v>
      </c>
    </row>
    <row r="167" spans="1:13" x14ac:dyDescent="0.3">
      <c r="A167">
        <v>35</v>
      </c>
      <c r="B167" t="s">
        <v>13</v>
      </c>
      <c r="C167" t="s">
        <v>14</v>
      </c>
      <c r="D167" t="s">
        <v>14</v>
      </c>
      <c r="E167" t="s">
        <v>16</v>
      </c>
      <c r="F167" t="s">
        <v>17</v>
      </c>
      <c r="G167" t="s">
        <v>33</v>
      </c>
      <c r="H167" t="s">
        <v>19</v>
      </c>
      <c r="I167" t="s">
        <v>28</v>
      </c>
      <c r="J167" t="s">
        <v>21</v>
      </c>
      <c r="K167" t="s">
        <v>22</v>
      </c>
      <c r="L167" t="s">
        <v>31</v>
      </c>
      <c r="M167" t="s">
        <v>14</v>
      </c>
    </row>
    <row r="168" spans="1:13" x14ac:dyDescent="0.3">
      <c r="A168">
        <v>35</v>
      </c>
      <c r="B168" t="s">
        <v>13</v>
      </c>
      <c r="C168" t="s">
        <v>14</v>
      </c>
      <c r="D168" t="s">
        <v>14</v>
      </c>
      <c r="E168" t="s">
        <v>16</v>
      </c>
      <c r="F168" t="s">
        <v>25</v>
      </c>
      <c r="G168" t="s">
        <v>33</v>
      </c>
      <c r="H168" t="s">
        <v>34</v>
      </c>
      <c r="I168" t="s">
        <v>28</v>
      </c>
      <c r="J168" t="s">
        <v>21</v>
      </c>
      <c r="K168" t="s">
        <v>22</v>
      </c>
      <c r="L168" t="s">
        <v>35</v>
      </c>
      <c r="M168" t="s">
        <v>14</v>
      </c>
    </row>
    <row r="169" spans="1:13" x14ac:dyDescent="0.3">
      <c r="A169">
        <v>35</v>
      </c>
      <c r="B169" t="s">
        <v>13</v>
      </c>
      <c r="C169" t="s">
        <v>14</v>
      </c>
      <c r="D169" t="s">
        <v>14</v>
      </c>
      <c r="E169" t="s">
        <v>16</v>
      </c>
      <c r="F169" t="s">
        <v>25</v>
      </c>
      <c r="G169" t="s">
        <v>33</v>
      </c>
      <c r="H169" t="s">
        <v>34</v>
      </c>
      <c r="I169" t="s">
        <v>28</v>
      </c>
      <c r="J169" t="s">
        <v>21</v>
      </c>
      <c r="K169" t="s">
        <v>22</v>
      </c>
      <c r="L169" t="s">
        <v>35</v>
      </c>
      <c r="M169" t="s">
        <v>14</v>
      </c>
    </row>
    <row r="170" spans="1:13" x14ac:dyDescent="0.3">
      <c r="A170">
        <v>35</v>
      </c>
      <c r="B170" t="s">
        <v>13</v>
      </c>
      <c r="C170" t="s">
        <v>14</v>
      </c>
      <c r="D170" t="s">
        <v>14</v>
      </c>
      <c r="E170" t="s">
        <v>16</v>
      </c>
      <c r="F170" t="s">
        <v>25</v>
      </c>
      <c r="G170" t="s">
        <v>33</v>
      </c>
      <c r="H170" t="s">
        <v>34</v>
      </c>
      <c r="I170" t="s">
        <v>28</v>
      </c>
      <c r="J170" t="s">
        <v>21</v>
      </c>
      <c r="K170" t="s">
        <v>22</v>
      </c>
      <c r="L170" t="s">
        <v>35</v>
      </c>
      <c r="M170" t="s">
        <v>14</v>
      </c>
    </row>
    <row r="171" spans="1:13" x14ac:dyDescent="0.3">
      <c r="A171">
        <v>35</v>
      </c>
      <c r="B171" t="s">
        <v>13</v>
      </c>
      <c r="C171" t="s">
        <v>14</v>
      </c>
      <c r="D171" t="s">
        <v>14</v>
      </c>
      <c r="E171" t="s">
        <v>16</v>
      </c>
      <c r="F171" t="s">
        <v>25</v>
      </c>
      <c r="G171" t="s">
        <v>33</v>
      </c>
      <c r="H171" t="s">
        <v>27</v>
      </c>
      <c r="I171" t="s">
        <v>28</v>
      </c>
      <c r="J171" t="s">
        <v>21</v>
      </c>
      <c r="K171" t="s">
        <v>22</v>
      </c>
      <c r="L171" t="s">
        <v>35</v>
      </c>
      <c r="M171" t="s">
        <v>14</v>
      </c>
    </row>
    <row r="172" spans="1:13" x14ac:dyDescent="0.3">
      <c r="A172">
        <v>35</v>
      </c>
      <c r="B172" t="s">
        <v>13</v>
      </c>
      <c r="C172" t="s">
        <v>14</v>
      </c>
      <c r="D172" t="s">
        <v>14</v>
      </c>
      <c r="E172" t="s">
        <v>16</v>
      </c>
      <c r="F172" t="s">
        <v>25</v>
      </c>
      <c r="G172" t="s">
        <v>33</v>
      </c>
      <c r="H172" t="s">
        <v>27</v>
      </c>
      <c r="I172" t="s">
        <v>28</v>
      </c>
      <c r="J172" t="s">
        <v>21</v>
      </c>
      <c r="K172" t="s">
        <v>22</v>
      </c>
      <c r="L172" t="s">
        <v>31</v>
      </c>
      <c r="M172" t="s">
        <v>14</v>
      </c>
    </row>
    <row r="173" spans="1:13" x14ac:dyDescent="0.3">
      <c r="A173">
        <v>35</v>
      </c>
      <c r="B173" t="s">
        <v>13</v>
      </c>
      <c r="C173" t="s">
        <v>14</v>
      </c>
      <c r="D173" t="s">
        <v>14</v>
      </c>
      <c r="E173" t="s">
        <v>16</v>
      </c>
      <c r="F173" t="s">
        <v>25</v>
      </c>
      <c r="G173" t="s">
        <v>33</v>
      </c>
      <c r="H173" t="s">
        <v>19</v>
      </c>
      <c r="I173" t="s">
        <v>28</v>
      </c>
      <c r="J173" t="s">
        <v>21</v>
      </c>
      <c r="K173" t="s">
        <v>22</v>
      </c>
      <c r="L173" t="s">
        <v>35</v>
      </c>
      <c r="M173" t="s">
        <v>14</v>
      </c>
    </row>
    <row r="174" spans="1:13" x14ac:dyDescent="0.3">
      <c r="A174">
        <v>35</v>
      </c>
      <c r="B174" t="s">
        <v>13</v>
      </c>
      <c r="C174" t="s">
        <v>14</v>
      </c>
      <c r="D174" t="s">
        <v>30</v>
      </c>
      <c r="E174" t="s">
        <v>16</v>
      </c>
      <c r="F174" t="s">
        <v>17</v>
      </c>
      <c r="G174" t="s">
        <v>18</v>
      </c>
      <c r="H174" t="s">
        <v>19</v>
      </c>
      <c r="I174" t="s">
        <v>36</v>
      </c>
      <c r="J174" t="s">
        <v>21</v>
      </c>
      <c r="K174" t="s">
        <v>22</v>
      </c>
      <c r="L174" t="s">
        <v>41</v>
      </c>
      <c r="M174" t="s">
        <v>24</v>
      </c>
    </row>
    <row r="175" spans="1:13" x14ac:dyDescent="0.3">
      <c r="A175">
        <v>35</v>
      </c>
      <c r="B175" t="s">
        <v>13</v>
      </c>
      <c r="C175" t="s">
        <v>14</v>
      </c>
      <c r="D175" t="s">
        <v>45</v>
      </c>
      <c r="E175" t="s">
        <v>16</v>
      </c>
      <c r="F175" t="s">
        <v>17</v>
      </c>
      <c r="G175" t="s">
        <v>26</v>
      </c>
      <c r="H175" t="s">
        <v>44</v>
      </c>
      <c r="I175" t="s">
        <v>20</v>
      </c>
      <c r="J175" t="s">
        <v>21</v>
      </c>
      <c r="K175" t="s">
        <v>22</v>
      </c>
      <c r="L175" t="s">
        <v>23</v>
      </c>
      <c r="M175" t="s">
        <v>24</v>
      </c>
    </row>
    <row r="176" spans="1:13" x14ac:dyDescent="0.3">
      <c r="A176">
        <v>35</v>
      </c>
      <c r="B176" t="s">
        <v>9</v>
      </c>
      <c r="C176" t="s">
        <v>14</v>
      </c>
      <c r="D176" t="s">
        <v>40</v>
      </c>
      <c r="E176" t="s">
        <v>16</v>
      </c>
      <c r="F176" t="s">
        <v>17</v>
      </c>
      <c r="G176" t="s">
        <v>26</v>
      </c>
      <c r="H176" t="s">
        <v>39</v>
      </c>
      <c r="I176" t="s">
        <v>20</v>
      </c>
      <c r="J176" t="s">
        <v>46</v>
      </c>
      <c r="K176" t="s">
        <v>47</v>
      </c>
      <c r="L176" t="s">
        <v>23</v>
      </c>
      <c r="M176" t="s">
        <v>24</v>
      </c>
    </row>
    <row r="177" spans="1:13" x14ac:dyDescent="0.3">
      <c r="A177">
        <v>35</v>
      </c>
      <c r="B177" t="s">
        <v>13</v>
      </c>
      <c r="C177" t="s">
        <v>14</v>
      </c>
      <c r="D177" t="s">
        <v>30</v>
      </c>
      <c r="E177" t="s">
        <v>16</v>
      </c>
      <c r="F177" t="s">
        <v>17</v>
      </c>
      <c r="G177" t="s">
        <v>18</v>
      </c>
      <c r="H177" t="s">
        <v>34</v>
      </c>
      <c r="I177" t="s">
        <v>20</v>
      </c>
      <c r="J177" t="s">
        <v>21</v>
      </c>
      <c r="K177" t="s">
        <v>22</v>
      </c>
      <c r="L177" t="s">
        <v>23</v>
      </c>
      <c r="M177" t="s">
        <v>24</v>
      </c>
    </row>
    <row r="178" spans="1:13" x14ac:dyDescent="0.3">
      <c r="A178">
        <v>36</v>
      </c>
      <c r="B178" t="s">
        <v>13</v>
      </c>
      <c r="C178" t="s">
        <v>14</v>
      </c>
      <c r="D178" t="s">
        <v>14</v>
      </c>
      <c r="E178" t="s">
        <v>16</v>
      </c>
      <c r="F178" t="s">
        <v>17</v>
      </c>
      <c r="G178" t="s">
        <v>33</v>
      </c>
      <c r="H178" t="s">
        <v>34</v>
      </c>
      <c r="I178" t="s">
        <v>28</v>
      </c>
      <c r="J178" t="s">
        <v>21</v>
      </c>
      <c r="K178" t="s">
        <v>22</v>
      </c>
      <c r="L178" t="s">
        <v>31</v>
      </c>
      <c r="M178" t="s">
        <v>24</v>
      </c>
    </row>
    <row r="179" spans="1:13" x14ac:dyDescent="0.3">
      <c r="A179">
        <v>36</v>
      </c>
      <c r="B179" t="s">
        <v>13</v>
      </c>
      <c r="C179" t="s">
        <v>14</v>
      </c>
      <c r="D179" t="s">
        <v>14</v>
      </c>
      <c r="E179" t="s">
        <v>16</v>
      </c>
      <c r="F179" t="s">
        <v>25</v>
      </c>
      <c r="G179" t="s">
        <v>33</v>
      </c>
      <c r="H179" t="s">
        <v>27</v>
      </c>
      <c r="I179" t="s">
        <v>28</v>
      </c>
      <c r="J179" t="s">
        <v>21</v>
      </c>
      <c r="K179" t="s">
        <v>22</v>
      </c>
      <c r="L179" t="s">
        <v>35</v>
      </c>
      <c r="M179" t="s">
        <v>14</v>
      </c>
    </row>
    <row r="180" spans="1:13" x14ac:dyDescent="0.3">
      <c r="A180">
        <v>36</v>
      </c>
      <c r="B180" t="s">
        <v>13</v>
      </c>
      <c r="C180" t="s">
        <v>14</v>
      </c>
      <c r="D180" t="s">
        <v>14</v>
      </c>
      <c r="E180" t="s">
        <v>37</v>
      </c>
      <c r="F180" t="s">
        <v>25</v>
      </c>
      <c r="G180" t="s">
        <v>33</v>
      </c>
      <c r="H180" t="s">
        <v>38</v>
      </c>
      <c r="I180" t="s">
        <v>28</v>
      </c>
      <c r="J180" t="s">
        <v>21</v>
      </c>
      <c r="K180" t="s">
        <v>22</v>
      </c>
      <c r="L180" t="s">
        <v>35</v>
      </c>
      <c r="M180" t="s">
        <v>14</v>
      </c>
    </row>
    <row r="181" spans="1:13" x14ac:dyDescent="0.3">
      <c r="A181">
        <v>36</v>
      </c>
      <c r="B181" t="s">
        <v>13</v>
      </c>
      <c r="C181" t="s">
        <v>14</v>
      </c>
      <c r="D181" t="s">
        <v>14</v>
      </c>
      <c r="E181" t="s">
        <v>37</v>
      </c>
      <c r="F181" t="s">
        <v>25</v>
      </c>
      <c r="G181" t="s">
        <v>33</v>
      </c>
      <c r="H181" t="s">
        <v>38</v>
      </c>
      <c r="I181" t="s">
        <v>28</v>
      </c>
      <c r="J181" t="s">
        <v>21</v>
      </c>
      <c r="K181" t="s">
        <v>22</v>
      </c>
      <c r="L181" t="s">
        <v>35</v>
      </c>
      <c r="M181" t="s">
        <v>14</v>
      </c>
    </row>
    <row r="182" spans="1:13" x14ac:dyDescent="0.3">
      <c r="A182">
        <v>36</v>
      </c>
      <c r="B182" t="s">
        <v>9</v>
      </c>
      <c r="C182" t="s">
        <v>14</v>
      </c>
      <c r="D182" t="s">
        <v>14</v>
      </c>
      <c r="E182" t="s">
        <v>16</v>
      </c>
      <c r="F182" t="s">
        <v>25</v>
      </c>
      <c r="G182" t="s">
        <v>18</v>
      </c>
      <c r="H182" t="s">
        <v>27</v>
      </c>
      <c r="I182" t="s">
        <v>36</v>
      </c>
      <c r="J182" t="s">
        <v>21</v>
      </c>
      <c r="K182" t="s">
        <v>22</v>
      </c>
      <c r="L182" t="s">
        <v>31</v>
      </c>
      <c r="M182" t="s">
        <v>24</v>
      </c>
    </row>
    <row r="183" spans="1:13" x14ac:dyDescent="0.3">
      <c r="A183">
        <v>36</v>
      </c>
      <c r="B183" t="s">
        <v>13</v>
      </c>
      <c r="C183" t="s">
        <v>14</v>
      </c>
      <c r="D183" t="s">
        <v>40</v>
      </c>
      <c r="E183" t="s">
        <v>16</v>
      </c>
      <c r="F183" t="s">
        <v>17</v>
      </c>
      <c r="G183" t="s">
        <v>18</v>
      </c>
      <c r="H183" t="s">
        <v>19</v>
      </c>
      <c r="I183" t="s">
        <v>20</v>
      </c>
      <c r="J183" t="s">
        <v>21</v>
      </c>
      <c r="K183" t="s">
        <v>22</v>
      </c>
      <c r="L183" t="s">
        <v>31</v>
      </c>
      <c r="M183" t="s">
        <v>24</v>
      </c>
    </row>
    <row r="184" spans="1:13" x14ac:dyDescent="0.3">
      <c r="A184">
        <v>36</v>
      </c>
      <c r="B184" t="s">
        <v>13</v>
      </c>
      <c r="C184" t="s">
        <v>14</v>
      </c>
      <c r="D184" t="s">
        <v>30</v>
      </c>
      <c r="E184" t="s">
        <v>16</v>
      </c>
      <c r="F184" t="s">
        <v>25</v>
      </c>
      <c r="G184" t="s">
        <v>33</v>
      </c>
      <c r="H184" t="s">
        <v>27</v>
      </c>
      <c r="I184" t="s">
        <v>20</v>
      </c>
      <c r="J184" t="s">
        <v>21</v>
      </c>
      <c r="K184" t="s">
        <v>22</v>
      </c>
      <c r="L184" t="s">
        <v>35</v>
      </c>
      <c r="M184" t="s">
        <v>14</v>
      </c>
    </row>
    <row r="185" spans="1:13" x14ac:dyDescent="0.3">
      <c r="A185">
        <v>36</v>
      </c>
      <c r="B185" t="s">
        <v>13</v>
      </c>
      <c r="C185" t="s">
        <v>14</v>
      </c>
      <c r="D185" t="s">
        <v>30</v>
      </c>
      <c r="E185" t="s">
        <v>16</v>
      </c>
      <c r="F185" t="s">
        <v>25</v>
      </c>
      <c r="G185" t="s">
        <v>33</v>
      </c>
      <c r="H185" t="s">
        <v>27</v>
      </c>
      <c r="I185" t="s">
        <v>20</v>
      </c>
      <c r="J185" t="s">
        <v>21</v>
      </c>
      <c r="K185" t="s">
        <v>22</v>
      </c>
      <c r="L185" t="s">
        <v>31</v>
      </c>
      <c r="M185" t="s">
        <v>14</v>
      </c>
    </row>
    <row r="186" spans="1:13" x14ac:dyDescent="0.3">
      <c r="A186">
        <v>36</v>
      </c>
      <c r="B186" t="s">
        <v>13</v>
      </c>
      <c r="C186" t="s">
        <v>14</v>
      </c>
      <c r="D186" t="s">
        <v>30</v>
      </c>
      <c r="E186" t="s">
        <v>16</v>
      </c>
      <c r="F186" t="s">
        <v>25</v>
      </c>
      <c r="G186" t="s">
        <v>18</v>
      </c>
      <c r="H186" t="s">
        <v>27</v>
      </c>
      <c r="I186" t="s">
        <v>20</v>
      </c>
      <c r="J186" t="s">
        <v>21</v>
      </c>
      <c r="K186" t="s">
        <v>22</v>
      </c>
      <c r="L186" t="s">
        <v>31</v>
      </c>
      <c r="M186" t="s">
        <v>14</v>
      </c>
    </row>
    <row r="187" spans="1:13" x14ac:dyDescent="0.3">
      <c r="A187">
        <v>37</v>
      </c>
      <c r="B187" t="s">
        <v>13</v>
      </c>
      <c r="C187" t="s">
        <v>14</v>
      </c>
      <c r="D187" t="s">
        <v>14</v>
      </c>
      <c r="E187" t="s">
        <v>16</v>
      </c>
      <c r="F187" t="s">
        <v>17</v>
      </c>
      <c r="G187" t="s">
        <v>33</v>
      </c>
      <c r="H187" t="s">
        <v>19</v>
      </c>
      <c r="I187" t="s">
        <v>28</v>
      </c>
      <c r="J187" t="s">
        <v>21</v>
      </c>
      <c r="K187" t="s">
        <v>22</v>
      </c>
      <c r="L187" t="s">
        <v>35</v>
      </c>
      <c r="M187" t="s">
        <v>14</v>
      </c>
    </row>
    <row r="188" spans="1:13" x14ac:dyDescent="0.3">
      <c r="A188">
        <v>37</v>
      </c>
      <c r="B188" t="s">
        <v>13</v>
      </c>
      <c r="C188" t="s">
        <v>14</v>
      </c>
      <c r="D188" t="s">
        <v>14</v>
      </c>
      <c r="E188" t="s">
        <v>43</v>
      </c>
      <c r="F188" t="s">
        <v>17</v>
      </c>
      <c r="G188" t="s">
        <v>33</v>
      </c>
      <c r="H188" t="s">
        <v>27</v>
      </c>
      <c r="I188" t="s">
        <v>28</v>
      </c>
      <c r="J188" t="s">
        <v>21</v>
      </c>
      <c r="K188" t="s">
        <v>22</v>
      </c>
      <c r="L188" t="s">
        <v>35</v>
      </c>
      <c r="M188" t="s">
        <v>14</v>
      </c>
    </row>
    <row r="189" spans="1:13" x14ac:dyDescent="0.3">
      <c r="A189">
        <v>37</v>
      </c>
      <c r="B189" t="s">
        <v>13</v>
      </c>
      <c r="C189" t="s">
        <v>14</v>
      </c>
      <c r="D189" t="s">
        <v>14</v>
      </c>
      <c r="E189" t="s">
        <v>16</v>
      </c>
      <c r="F189" t="s">
        <v>25</v>
      </c>
      <c r="G189" t="s">
        <v>33</v>
      </c>
      <c r="H189" t="s">
        <v>27</v>
      </c>
      <c r="I189" t="s">
        <v>28</v>
      </c>
      <c r="J189" t="s">
        <v>21</v>
      </c>
      <c r="K189" t="s">
        <v>22</v>
      </c>
      <c r="L189" t="s">
        <v>35</v>
      </c>
      <c r="M189" t="s">
        <v>14</v>
      </c>
    </row>
    <row r="190" spans="1:13" x14ac:dyDescent="0.3">
      <c r="A190">
        <v>37</v>
      </c>
      <c r="B190" t="s">
        <v>13</v>
      </c>
      <c r="C190" t="s">
        <v>14</v>
      </c>
      <c r="D190" t="s">
        <v>14</v>
      </c>
      <c r="E190" t="s">
        <v>16</v>
      </c>
      <c r="F190" t="s">
        <v>25</v>
      </c>
      <c r="G190" t="s">
        <v>33</v>
      </c>
      <c r="H190" t="s">
        <v>27</v>
      </c>
      <c r="I190" t="s">
        <v>28</v>
      </c>
      <c r="J190" t="s">
        <v>21</v>
      </c>
      <c r="K190" t="s">
        <v>22</v>
      </c>
      <c r="L190" t="s">
        <v>35</v>
      </c>
      <c r="M190" t="s">
        <v>14</v>
      </c>
    </row>
    <row r="191" spans="1:13" x14ac:dyDescent="0.3">
      <c r="A191">
        <v>37</v>
      </c>
      <c r="B191" t="s">
        <v>13</v>
      </c>
      <c r="C191" t="s">
        <v>14</v>
      </c>
      <c r="D191" t="s">
        <v>14</v>
      </c>
      <c r="E191" t="s">
        <v>37</v>
      </c>
      <c r="F191" t="s">
        <v>25</v>
      </c>
      <c r="G191" t="s">
        <v>33</v>
      </c>
      <c r="H191" t="s">
        <v>38</v>
      </c>
      <c r="I191" t="s">
        <v>28</v>
      </c>
      <c r="J191" t="s">
        <v>21</v>
      </c>
      <c r="K191" t="s">
        <v>22</v>
      </c>
      <c r="L191" t="s">
        <v>35</v>
      </c>
      <c r="M191" t="s">
        <v>14</v>
      </c>
    </row>
    <row r="192" spans="1:13" x14ac:dyDescent="0.3">
      <c r="A192">
        <v>37</v>
      </c>
      <c r="B192" t="s">
        <v>13</v>
      </c>
      <c r="C192" t="s">
        <v>14</v>
      </c>
      <c r="D192" t="s">
        <v>14</v>
      </c>
      <c r="E192" t="s">
        <v>37</v>
      </c>
      <c r="F192" t="s">
        <v>25</v>
      </c>
      <c r="G192" t="s">
        <v>33</v>
      </c>
      <c r="H192" t="s">
        <v>38</v>
      </c>
      <c r="I192" t="s">
        <v>28</v>
      </c>
      <c r="J192" t="s">
        <v>21</v>
      </c>
      <c r="K192" t="s">
        <v>22</v>
      </c>
      <c r="L192" t="s">
        <v>35</v>
      </c>
      <c r="M192" t="s">
        <v>14</v>
      </c>
    </row>
    <row r="193" spans="1:13" x14ac:dyDescent="0.3">
      <c r="A193">
        <v>37</v>
      </c>
      <c r="B193" t="s">
        <v>13</v>
      </c>
      <c r="C193" t="s">
        <v>14</v>
      </c>
      <c r="D193" t="s">
        <v>14</v>
      </c>
      <c r="E193" t="s">
        <v>37</v>
      </c>
      <c r="F193" t="s">
        <v>25</v>
      </c>
      <c r="G193" t="s">
        <v>33</v>
      </c>
      <c r="H193" t="s">
        <v>38</v>
      </c>
      <c r="I193" t="s">
        <v>28</v>
      </c>
      <c r="J193" t="s">
        <v>21</v>
      </c>
      <c r="K193" t="s">
        <v>22</v>
      </c>
      <c r="L193" t="s">
        <v>35</v>
      </c>
      <c r="M193" t="s">
        <v>14</v>
      </c>
    </row>
    <row r="194" spans="1:13" x14ac:dyDescent="0.3">
      <c r="A194">
        <v>37</v>
      </c>
      <c r="B194" t="s">
        <v>13</v>
      </c>
      <c r="C194" t="s">
        <v>14</v>
      </c>
      <c r="D194" t="s">
        <v>14</v>
      </c>
      <c r="E194" t="s">
        <v>42</v>
      </c>
      <c r="F194" t="s">
        <v>25</v>
      </c>
      <c r="G194" t="s">
        <v>18</v>
      </c>
      <c r="H194" t="s">
        <v>19</v>
      </c>
      <c r="I194" t="s">
        <v>28</v>
      </c>
      <c r="J194" t="s">
        <v>21</v>
      </c>
      <c r="K194" t="s">
        <v>22</v>
      </c>
      <c r="L194" t="s">
        <v>35</v>
      </c>
      <c r="M194" t="s">
        <v>14</v>
      </c>
    </row>
    <row r="195" spans="1:13" x14ac:dyDescent="0.3">
      <c r="A195">
        <v>37</v>
      </c>
      <c r="B195" t="s">
        <v>13</v>
      </c>
      <c r="C195" t="s">
        <v>14</v>
      </c>
      <c r="D195" t="s">
        <v>14</v>
      </c>
      <c r="E195" t="s">
        <v>16</v>
      </c>
      <c r="F195" t="s">
        <v>17</v>
      </c>
      <c r="G195" t="s">
        <v>18</v>
      </c>
      <c r="H195" t="s">
        <v>39</v>
      </c>
      <c r="I195" t="s">
        <v>36</v>
      </c>
      <c r="J195" t="s">
        <v>46</v>
      </c>
      <c r="K195" t="s">
        <v>47</v>
      </c>
      <c r="L195" t="s">
        <v>23</v>
      </c>
      <c r="M195" t="s">
        <v>24</v>
      </c>
    </row>
    <row r="196" spans="1:13" x14ac:dyDescent="0.3">
      <c r="A196">
        <v>37</v>
      </c>
      <c r="B196" t="s">
        <v>9</v>
      </c>
      <c r="C196" t="s">
        <v>14</v>
      </c>
      <c r="D196" t="s">
        <v>15</v>
      </c>
      <c r="E196" t="s">
        <v>16</v>
      </c>
      <c r="F196" t="s">
        <v>17</v>
      </c>
      <c r="G196" t="s">
        <v>18</v>
      </c>
      <c r="H196" t="s">
        <v>19</v>
      </c>
      <c r="I196" t="s">
        <v>20</v>
      </c>
      <c r="J196" t="s">
        <v>21</v>
      </c>
      <c r="K196" t="s">
        <v>22</v>
      </c>
      <c r="L196" t="s">
        <v>23</v>
      </c>
      <c r="M196" t="s">
        <v>24</v>
      </c>
    </row>
    <row r="197" spans="1:13" x14ac:dyDescent="0.3">
      <c r="A197">
        <v>38</v>
      </c>
      <c r="B197" t="s">
        <v>13</v>
      </c>
      <c r="C197" t="s">
        <v>14</v>
      </c>
      <c r="D197" t="s">
        <v>14</v>
      </c>
      <c r="E197" t="s">
        <v>16</v>
      </c>
      <c r="F197" t="s">
        <v>17</v>
      </c>
      <c r="G197" t="s">
        <v>33</v>
      </c>
      <c r="H197" t="s">
        <v>34</v>
      </c>
      <c r="I197" t="s">
        <v>28</v>
      </c>
      <c r="J197" t="s">
        <v>21</v>
      </c>
      <c r="K197" t="s">
        <v>22</v>
      </c>
      <c r="L197" t="s">
        <v>35</v>
      </c>
      <c r="M197" t="s">
        <v>14</v>
      </c>
    </row>
    <row r="198" spans="1:13" x14ac:dyDescent="0.3">
      <c r="A198">
        <v>38</v>
      </c>
      <c r="B198" t="s">
        <v>13</v>
      </c>
      <c r="C198" t="s">
        <v>14</v>
      </c>
      <c r="D198" t="s">
        <v>14</v>
      </c>
      <c r="E198" t="s">
        <v>42</v>
      </c>
      <c r="F198" t="s">
        <v>17</v>
      </c>
      <c r="G198" t="s">
        <v>33</v>
      </c>
      <c r="H198" t="s">
        <v>19</v>
      </c>
      <c r="I198" t="s">
        <v>28</v>
      </c>
      <c r="J198" t="s">
        <v>21</v>
      </c>
      <c r="K198" t="s">
        <v>22</v>
      </c>
      <c r="L198" t="s">
        <v>41</v>
      </c>
      <c r="M198" t="s">
        <v>14</v>
      </c>
    </row>
    <row r="199" spans="1:13" x14ac:dyDescent="0.3">
      <c r="A199">
        <v>38</v>
      </c>
      <c r="B199" t="s">
        <v>13</v>
      </c>
      <c r="C199" t="s">
        <v>14</v>
      </c>
      <c r="D199" t="s">
        <v>14</v>
      </c>
      <c r="E199" t="s">
        <v>16</v>
      </c>
      <c r="F199" t="s">
        <v>25</v>
      </c>
      <c r="G199" t="s">
        <v>33</v>
      </c>
      <c r="H199" t="s">
        <v>27</v>
      </c>
      <c r="I199" t="s">
        <v>28</v>
      </c>
      <c r="J199" t="s">
        <v>21</v>
      </c>
      <c r="K199" t="s">
        <v>22</v>
      </c>
      <c r="L199" t="s">
        <v>35</v>
      </c>
      <c r="M199" t="s">
        <v>14</v>
      </c>
    </row>
    <row r="200" spans="1:13" x14ac:dyDescent="0.3">
      <c r="A200">
        <v>38</v>
      </c>
      <c r="B200" t="s">
        <v>13</v>
      </c>
      <c r="C200" t="s">
        <v>14</v>
      </c>
      <c r="D200" t="s">
        <v>14</v>
      </c>
      <c r="E200" t="s">
        <v>16</v>
      </c>
      <c r="F200" t="s">
        <v>25</v>
      </c>
      <c r="G200" t="s">
        <v>33</v>
      </c>
      <c r="H200" t="s">
        <v>27</v>
      </c>
      <c r="I200" t="s">
        <v>28</v>
      </c>
      <c r="J200" t="s">
        <v>21</v>
      </c>
      <c r="K200" t="s">
        <v>22</v>
      </c>
      <c r="L200" t="s">
        <v>35</v>
      </c>
      <c r="M200" t="s">
        <v>14</v>
      </c>
    </row>
    <row r="201" spans="1:13" x14ac:dyDescent="0.3">
      <c r="A201">
        <v>38</v>
      </c>
      <c r="B201" t="s">
        <v>13</v>
      </c>
      <c r="C201" t="s">
        <v>14</v>
      </c>
      <c r="D201" t="s">
        <v>14</v>
      </c>
      <c r="E201" t="s">
        <v>16</v>
      </c>
      <c r="F201" t="s">
        <v>25</v>
      </c>
      <c r="G201" t="s">
        <v>33</v>
      </c>
      <c r="H201" t="s">
        <v>19</v>
      </c>
      <c r="I201" t="s">
        <v>28</v>
      </c>
      <c r="J201" t="s">
        <v>21</v>
      </c>
      <c r="K201" t="s">
        <v>22</v>
      </c>
      <c r="L201" t="s">
        <v>35</v>
      </c>
      <c r="M201" t="s">
        <v>14</v>
      </c>
    </row>
    <row r="202" spans="1:13" x14ac:dyDescent="0.3">
      <c r="A202">
        <v>38</v>
      </c>
      <c r="B202" t="s">
        <v>13</v>
      </c>
      <c r="C202" t="s">
        <v>14</v>
      </c>
      <c r="D202" t="s">
        <v>14</v>
      </c>
      <c r="E202" t="s">
        <v>37</v>
      </c>
      <c r="F202" t="s">
        <v>25</v>
      </c>
      <c r="G202" t="s">
        <v>33</v>
      </c>
      <c r="H202" t="s">
        <v>38</v>
      </c>
      <c r="I202" t="s">
        <v>28</v>
      </c>
      <c r="J202" t="s">
        <v>21</v>
      </c>
      <c r="K202" t="s">
        <v>22</v>
      </c>
      <c r="L202" t="s">
        <v>35</v>
      </c>
      <c r="M202" t="s">
        <v>14</v>
      </c>
    </row>
    <row r="203" spans="1:13" x14ac:dyDescent="0.3">
      <c r="A203">
        <v>38</v>
      </c>
      <c r="B203" t="s">
        <v>13</v>
      </c>
      <c r="C203" t="s">
        <v>14</v>
      </c>
      <c r="D203" t="s">
        <v>14</v>
      </c>
      <c r="E203" t="s">
        <v>37</v>
      </c>
      <c r="F203" t="s">
        <v>25</v>
      </c>
      <c r="G203" t="s">
        <v>33</v>
      </c>
      <c r="H203" t="s">
        <v>38</v>
      </c>
      <c r="I203" t="s">
        <v>28</v>
      </c>
      <c r="J203" t="s">
        <v>21</v>
      </c>
      <c r="K203" t="s">
        <v>22</v>
      </c>
      <c r="L203" t="s">
        <v>35</v>
      </c>
      <c r="M203" t="s">
        <v>14</v>
      </c>
    </row>
    <row r="204" spans="1:13" x14ac:dyDescent="0.3">
      <c r="A204">
        <v>38</v>
      </c>
      <c r="B204" t="s">
        <v>9</v>
      </c>
      <c r="C204" t="s">
        <v>14</v>
      </c>
      <c r="D204" t="s">
        <v>15</v>
      </c>
      <c r="E204" t="s">
        <v>16</v>
      </c>
      <c r="F204" t="s">
        <v>25</v>
      </c>
      <c r="G204" t="s">
        <v>18</v>
      </c>
      <c r="H204" t="s">
        <v>19</v>
      </c>
      <c r="I204" t="s">
        <v>20</v>
      </c>
      <c r="J204" t="s">
        <v>21</v>
      </c>
      <c r="K204" t="s">
        <v>22</v>
      </c>
      <c r="L204" t="s">
        <v>23</v>
      </c>
      <c r="M204" t="s">
        <v>24</v>
      </c>
    </row>
    <row r="205" spans="1:13" x14ac:dyDescent="0.3">
      <c r="A205">
        <v>38</v>
      </c>
      <c r="B205" t="s">
        <v>13</v>
      </c>
      <c r="C205" t="s">
        <v>14</v>
      </c>
      <c r="D205" t="s">
        <v>48</v>
      </c>
      <c r="E205" t="s">
        <v>16</v>
      </c>
      <c r="F205" t="s">
        <v>17</v>
      </c>
      <c r="G205" t="s">
        <v>26</v>
      </c>
      <c r="H205" t="s">
        <v>19</v>
      </c>
      <c r="I205" t="s">
        <v>20</v>
      </c>
      <c r="J205" t="s">
        <v>46</v>
      </c>
      <c r="K205" t="s">
        <v>47</v>
      </c>
      <c r="L205" t="s">
        <v>23</v>
      </c>
      <c r="M205" t="s">
        <v>24</v>
      </c>
    </row>
    <row r="206" spans="1:13" x14ac:dyDescent="0.3">
      <c r="A206">
        <v>38</v>
      </c>
      <c r="B206" t="s">
        <v>9</v>
      </c>
      <c r="C206" t="s">
        <v>14</v>
      </c>
      <c r="D206" t="s">
        <v>30</v>
      </c>
      <c r="E206" t="s">
        <v>16</v>
      </c>
      <c r="F206" t="s">
        <v>17</v>
      </c>
      <c r="G206" t="s">
        <v>18</v>
      </c>
      <c r="H206" t="s">
        <v>27</v>
      </c>
      <c r="I206" t="s">
        <v>20</v>
      </c>
      <c r="J206" t="s">
        <v>21</v>
      </c>
      <c r="K206" t="s">
        <v>22</v>
      </c>
      <c r="L206" t="s">
        <v>23</v>
      </c>
      <c r="M206" t="s">
        <v>24</v>
      </c>
    </row>
    <row r="207" spans="1:13" x14ac:dyDescent="0.3">
      <c r="A207">
        <v>38</v>
      </c>
      <c r="B207" t="s">
        <v>13</v>
      </c>
      <c r="C207" t="s">
        <v>14</v>
      </c>
      <c r="D207" t="s">
        <v>30</v>
      </c>
      <c r="E207" t="s">
        <v>16</v>
      </c>
      <c r="F207" t="s">
        <v>17</v>
      </c>
      <c r="G207" t="s">
        <v>18</v>
      </c>
      <c r="H207" t="s">
        <v>27</v>
      </c>
      <c r="I207" t="s">
        <v>20</v>
      </c>
      <c r="J207" t="s">
        <v>21</v>
      </c>
      <c r="K207" t="s">
        <v>22</v>
      </c>
      <c r="L207" t="s">
        <v>35</v>
      </c>
      <c r="M207" t="s">
        <v>14</v>
      </c>
    </row>
    <row r="208" spans="1:13" x14ac:dyDescent="0.3">
      <c r="A208">
        <v>39</v>
      </c>
      <c r="B208" t="s">
        <v>13</v>
      </c>
      <c r="C208" t="s">
        <v>14</v>
      </c>
      <c r="D208" t="s">
        <v>14</v>
      </c>
      <c r="E208" t="s">
        <v>16</v>
      </c>
      <c r="F208" t="s">
        <v>25</v>
      </c>
      <c r="G208" t="s">
        <v>33</v>
      </c>
      <c r="H208" t="s">
        <v>19</v>
      </c>
      <c r="I208" t="s">
        <v>28</v>
      </c>
      <c r="J208" t="s">
        <v>21</v>
      </c>
      <c r="K208" t="s">
        <v>22</v>
      </c>
      <c r="L208" t="s">
        <v>31</v>
      </c>
      <c r="M208" t="s">
        <v>14</v>
      </c>
    </row>
    <row r="209" spans="1:13" x14ac:dyDescent="0.3">
      <c r="A209">
        <v>39</v>
      </c>
      <c r="B209" t="s">
        <v>13</v>
      </c>
      <c r="C209" t="s">
        <v>14</v>
      </c>
      <c r="D209" t="s">
        <v>14</v>
      </c>
      <c r="E209" t="s">
        <v>43</v>
      </c>
      <c r="F209" t="s">
        <v>25</v>
      </c>
      <c r="G209" t="s">
        <v>33</v>
      </c>
      <c r="H209" t="s">
        <v>27</v>
      </c>
      <c r="I209" t="s">
        <v>28</v>
      </c>
      <c r="J209" t="s">
        <v>21</v>
      </c>
      <c r="K209" t="s">
        <v>22</v>
      </c>
      <c r="L209" t="s">
        <v>31</v>
      </c>
      <c r="M209" t="s">
        <v>14</v>
      </c>
    </row>
    <row r="210" spans="1:13" x14ac:dyDescent="0.3">
      <c r="A210">
        <v>40</v>
      </c>
      <c r="B210" t="s">
        <v>13</v>
      </c>
      <c r="C210" t="s">
        <v>14</v>
      </c>
      <c r="D210" t="s">
        <v>14</v>
      </c>
      <c r="E210" t="s">
        <v>16</v>
      </c>
      <c r="F210" t="s">
        <v>17</v>
      </c>
      <c r="G210" t="s">
        <v>33</v>
      </c>
      <c r="H210" t="s">
        <v>27</v>
      </c>
      <c r="I210" t="s">
        <v>28</v>
      </c>
      <c r="J210" t="s">
        <v>21</v>
      </c>
      <c r="K210" t="s">
        <v>22</v>
      </c>
      <c r="L210" t="s">
        <v>35</v>
      </c>
      <c r="M210" t="s">
        <v>14</v>
      </c>
    </row>
    <row r="211" spans="1:13" x14ac:dyDescent="0.3">
      <c r="A211">
        <v>40</v>
      </c>
      <c r="B211" t="s">
        <v>13</v>
      </c>
      <c r="C211" t="s">
        <v>14</v>
      </c>
      <c r="D211" t="s">
        <v>14</v>
      </c>
      <c r="E211" t="s">
        <v>16</v>
      </c>
      <c r="F211" t="s">
        <v>25</v>
      </c>
      <c r="G211" t="s">
        <v>33</v>
      </c>
      <c r="H211" t="s">
        <v>34</v>
      </c>
      <c r="I211" t="s">
        <v>28</v>
      </c>
      <c r="J211" t="s">
        <v>21</v>
      </c>
      <c r="K211" t="s">
        <v>22</v>
      </c>
      <c r="L211" t="s">
        <v>35</v>
      </c>
      <c r="M211" t="s">
        <v>14</v>
      </c>
    </row>
    <row r="212" spans="1:13" x14ac:dyDescent="0.3">
      <c r="A212">
        <v>40</v>
      </c>
      <c r="B212" t="s">
        <v>13</v>
      </c>
      <c r="C212" t="s">
        <v>14</v>
      </c>
      <c r="D212" t="s">
        <v>14</v>
      </c>
      <c r="E212" t="s">
        <v>37</v>
      </c>
      <c r="F212" t="s">
        <v>25</v>
      </c>
      <c r="G212" t="s">
        <v>33</v>
      </c>
      <c r="H212" t="s">
        <v>38</v>
      </c>
      <c r="I212" t="s">
        <v>28</v>
      </c>
      <c r="J212" t="s">
        <v>21</v>
      </c>
      <c r="K212" t="s">
        <v>22</v>
      </c>
      <c r="L212" t="s">
        <v>35</v>
      </c>
      <c r="M212" t="s">
        <v>14</v>
      </c>
    </row>
    <row r="213" spans="1:13" x14ac:dyDescent="0.3">
      <c r="A213">
        <v>40</v>
      </c>
      <c r="B213" t="s">
        <v>13</v>
      </c>
      <c r="C213" t="s">
        <v>14</v>
      </c>
      <c r="D213" t="s">
        <v>14</v>
      </c>
      <c r="E213" t="s">
        <v>37</v>
      </c>
      <c r="F213" t="s">
        <v>25</v>
      </c>
      <c r="G213" t="s">
        <v>33</v>
      </c>
      <c r="H213" t="s">
        <v>38</v>
      </c>
      <c r="I213" t="s">
        <v>28</v>
      </c>
      <c r="J213" t="s">
        <v>21</v>
      </c>
      <c r="K213" t="s">
        <v>22</v>
      </c>
      <c r="L213" t="s">
        <v>35</v>
      </c>
      <c r="M213" t="s">
        <v>14</v>
      </c>
    </row>
    <row r="214" spans="1:13" x14ac:dyDescent="0.3">
      <c r="A214">
        <v>40</v>
      </c>
      <c r="B214" t="s">
        <v>13</v>
      </c>
      <c r="C214" t="s">
        <v>14</v>
      </c>
      <c r="D214" t="s">
        <v>14</v>
      </c>
      <c r="E214" t="s">
        <v>37</v>
      </c>
      <c r="F214" t="s">
        <v>25</v>
      </c>
      <c r="G214" t="s">
        <v>33</v>
      </c>
      <c r="H214" t="s">
        <v>38</v>
      </c>
      <c r="I214" t="s">
        <v>28</v>
      </c>
      <c r="J214" t="s">
        <v>21</v>
      </c>
      <c r="K214" t="s">
        <v>22</v>
      </c>
      <c r="L214" t="s">
        <v>35</v>
      </c>
      <c r="M214" t="s">
        <v>14</v>
      </c>
    </row>
    <row r="215" spans="1:13" x14ac:dyDescent="0.3">
      <c r="A215">
        <v>40</v>
      </c>
      <c r="B215" t="s">
        <v>9</v>
      </c>
      <c r="C215" t="s">
        <v>14</v>
      </c>
      <c r="D215" t="s">
        <v>14</v>
      </c>
      <c r="E215" t="s">
        <v>16</v>
      </c>
      <c r="F215" t="s">
        <v>25</v>
      </c>
      <c r="G215" t="s">
        <v>33</v>
      </c>
      <c r="H215" t="s">
        <v>27</v>
      </c>
      <c r="I215" t="s">
        <v>28</v>
      </c>
      <c r="J215" t="s">
        <v>21</v>
      </c>
      <c r="K215" t="s">
        <v>22</v>
      </c>
      <c r="L215" t="s">
        <v>35</v>
      </c>
      <c r="M215" t="s">
        <v>14</v>
      </c>
    </row>
    <row r="216" spans="1:13" x14ac:dyDescent="0.3">
      <c r="A216">
        <v>40</v>
      </c>
      <c r="B216" t="s">
        <v>13</v>
      </c>
      <c r="C216" t="s">
        <v>14</v>
      </c>
      <c r="D216" t="s">
        <v>14</v>
      </c>
      <c r="E216" t="s">
        <v>16</v>
      </c>
      <c r="F216" t="s">
        <v>25</v>
      </c>
      <c r="G216" t="s">
        <v>18</v>
      </c>
      <c r="H216" t="s">
        <v>34</v>
      </c>
      <c r="I216" t="s">
        <v>28</v>
      </c>
      <c r="J216" t="s">
        <v>21</v>
      </c>
      <c r="K216" t="s">
        <v>22</v>
      </c>
      <c r="L216" t="s">
        <v>35</v>
      </c>
      <c r="M216" t="s">
        <v>14</v>
      </c>
    </row>
    <row r="217" spans="1:13" x14ac:dyDescent="0.3">
      <c r="A217">
        <v>40</v>
      </c>
      <c r="B217" t="s">
        <v>13</v>
      </c>
      <c r="C217" t="s">
        <v>14</v>
      </c>
      <c r="D217" t="s">
        <v>14</v>
      </c>
      <c r="E217" t="s">
        <v>16</v>
      </c>
      <c r="F217" t="s">
        <v>25</v>
      </c>
      <c r="G217" t="s">
        <v>33</v>
      </c>
      <c r="H217" t="s">
        <v>27</v>
      </c>
      <c r="I217" t="s">
        <v>36</v>
      </c>
      <c r="J217" t="s">
        <v>21</v>
      </c>
      <c r="K217" t="s">
        <v>22</v>
      </c>
      <c r="L217" t="s">
        <v>35</v>
      </c>
      <c r="M217" t="s">
        <v>14</v>
      </c>
    </row>
    <row r="218" spans="1:13" x14ac:dyDescent="0.3">
      <c r="A218">
        <v>40</v>
      </c>
      <c r="B218" t="s">
        <v>9</v>
      </c>
      <c r="C218" t="s">
        <v>14</v>
      </c>
      <c r="D218" t="s">
        <v>15</v>
      </c>
      <c r="E218" t="s">
        <v>16</v>
      </c>
      <c r="F218" t="s">
        <v>17</v>
      </c>
      <c r="G218" t="s">
        <v>18</v>
      </c>
      <c r="H218" t="s">
        <v>27</v>
      </c>
      <c r="I218" t="s">
        <v>20</v>
      </c>
      <c r="J218" t="s">
        <v>21</v>
      </c>
      <c r="K218" t="s">
        <v>22</v>
      </c>
      <c r="L218" t="s">
        <v>23</v>
      </c>
      <c r="M218" t="s">
        <v>24</v>
      </c>
    </row>
    <row r="219" spans="1:13" x14ac:dyDescent="0.3">
      <c r="A219">
        <v>40</v>
      </c>
      <c r="B219" t="s">
        <v>9</v>
      </c>
      <c r="C219" t="s">
        <v>14</v>
      </c>
      <c r="D219" t="s">
        <v>15</v>
      </c>
      <c r="E219" t="s">
        <v>16</v>
      </c>
      <c r="F219" t="s">
        <v>17</v>
      </c>
      <c r="G219" t="s">
        <v>26</v>
      </c>
      <c r="H219" t="s">
        <v>49</v>
      </c>
      <c r="I219" t="s">
        <v>20</v>
      </c>
      <c r="J219" t="s">
        <v>21</v>
      </c>
      <c r="K219" t="s">
        <v>22</v>
      </c>
      <c r="L219" t="s">
        <v>23</v>
      </c>
      <c r="M219" t="s">
        <v>24</v>
      </c>
    </row>
    <row r="220" spans="1:13" x14ac:dyDescent="0.3">
      <c r="A220">
        <v>40</v>
      </c>
      <c r="B220" t="s">
        <v>13</v>
      </c>
      <c r="C220" t="s">
        <v>14</v>
      </c>
      <c r="D220" t="s">
        <v>30</v>
      </c>
      <c r="E220" t="s">
        <v>16</v>
      </c>
      <c r="F220" t="s">
        <v>17</v>
      </c>
      <c r="G220" t="s">
        <v>18</v>
      </c>
      <c r="H220" t="s">
        <v>19</v>
      </c>
      <c r="I220" t="s">
        <v>20</v>
      </c>
      <c r="J220" t="s">
        <v>21</v>
      </c>
      <c r="K220" t="s">
        <v>22</v>
      </c>
      <c r="L220" t="s">
        <v>23</v>
      </c>
      <c r="M220" t="s">
        <v>24</v>
      </c>
    </row>
    <row r="221" spans="1:13" x14ac:dyDescent="0.3">
      <c r="A221">
        <v>40</v>
      </c>
      <c r="B221" t="s">
        <v>13</v>
      </c>
      <c r="C221" t="s">
        <v>14</v>
      </c>
      <c r="D221" t="s">
        <v>40</v>
      </c>
      <c r="E221" t="s">
        <v>16</v>
      </c>
      <c r="F221" t="s">
        <v>25</v>
      </c>
      <c r="G221" t="s">
        <v>18</v>
      </c>
      <c r="H221" t="s">
        <v>27</v>
      </c>
      <c r="I221" t="s">
        <v>20</v>
      </c>
      <c r="J221" t="s">
        <v>21</v>
      </c>
      <c r="K221" t="s">
        <v>22</v>
      </c>
      <c r="L221" t="s">
        <v>31</v>
      </c>
      <c r="M221" t="s">
        <v>14</v>
      </c>
    </row>
    <row r="222" spans="1:13" x14ac:dyDescent="0.3">
      <c r="A222">
        <v>41</v>
      </c>
      <c r="B222" t="s">
        <v>13</v>
      </c>
      <c r="C222" t="s">
        <v>14</v>
      </c>
      <c r="D222" t="s">
        <v>14</v>
      </c>
      <c r="E222" t="s">
        <v>16</v>
      </c>
      <c r="F222" t="s">
        <v>17</v>
      </c>
      <c r="G222" t="s">
        <v>33</v>
      </c>
      <c r="H222" t="s">
        <v>19</v>
      </c>
      <c r="I222" t="s">
        <v>28</v>
      </c>
      <c r="J222" t="s">
        <v>21</v>
      </c>
      <c r="K222" t="s">
        <v>22</v>
      </c>
      <c r="L222" t="s">
        <v>35</v>
      </c>
      <c r="M222" t="s">
        <v>14</v>
      </c>
    </row>
    <row r="223" spans="1:13" x14ac:dyDescent="0.3">
      <c r="A223">
        <v>41</v>
      </c>
      <c r="B223" t="s">
        <v>13</v>
      </c>
      <c r="C223" t="s">
        <v>14</v>
      </c>
      <c r="D223" t="s">
        <v>14</v>
      </c>
      <c r="E223" t="s">
        <v>16</v>
      </c>
      <c r="F223" t="s">
        <v>17</v>
      </c>
      <c r="G223" t="s">
        <v>33</v>
      </c>
      <c r="H223" t="s">
        <v>19</v>
      </c>
      <c r="I223" t="s">
        <v>28</v>
      </c>
      <c r="J223" t="s">
        <v>21</v>
      </c>
      <c r="K223" t="s">
        <v>22</v>
      </c>
      <c r="L223" t="s">
        <v>41</v>
      </c>
      <c r="M223" t="s">
        <v>14</v>
      </c>
    </row>
    <row r="224" spans="1:13" x14ac:dyDescent="0.3">
      <c r="A224">
        <v>41</v>
      </c>
      <c r="B224" t="s">
        <v>13</v>
      </c>
      <c r="C224" t="s">
        <v>14</v>
      </c>
      <c r="D224" t="s">
        <v>14</v>
      </c>
      <c r="E224" t="s">
        <v>16</v>
      </c>
      <c r="F224" t="s">
        <v>25</v>
      </c>
      <c r="G224" t="s">
        <v>33</v>
      </c>
      <c r="H224" t="s">
        <v>27</v>
      </c>
      <c r="I224" t="s">
        <v>28</v>
      </c>
      <c r="J224" t="s">
        <v>21</v>
      </c>
      <c r="K224" t="s">
        <v>22</v>
      </c>
      <c r="L224" t="s">
        <v>35</v>
      </c>
      <c r="M224" t="s">
        <v>14</v>
      </c>
    </row>
    <row r="225" spans="1:13" x14ac:dyDescent="0.3">
      <c r="A225">
        <v>41</v>
      </c>
      <c r="B225" t="s">
        <v>13</v>
      </c>
      <c r="C225" t="s">
        <v>14</v>
      </c>
      <c r="D225" t="s">
        <v>14</v>
      </c>
      <c r="E225" t="s">
        <v>16</v>
      </c>
      <c r="F225" t="s">
        <v>25</v>
      </c>
      <c r="G225" t="s">
        <v>33</v>
      </c>
      <c r="H225" t="s">
        <v>27</v>
      </c>
      <c r="I225" t="s">
        <v>28</v>
      </c>
      <c r="J225" t="s">
        <v>21</v>
      </c>
      <c r="K225" t="s">
        <v>22</v>
      </c>
      <c r="L225" t="s">
        <v>31</v>
      </c>
      <c r="M225" t="s">
        <v>14</v>
      </c>
    </row>
    <row r="226" spans="1:13" x14ac:dyDescent="0.3">
      <c r="A226">
        <v>41</v>
      </c>
      <c r="B226" t="s">
        <v>13</v>
      </c>
      <c r="C226" t="s">
        <v>14</v>
      </c>
      <c r="D226" t="s">
        <v>14</v>
      </c>
      <c r="E226" t="s">
        <v>37</v>
      </c>
      <c r="F226" t="s">
        <v>25</v>
      </c>
      <c r="G226" t="s">
        <v>33</v>
      </c>
      <c r="H226" t="s">
        <v>38</v>
      </c>
      <c r="I226" t="s">
        <v>28</v>
      </c>
      <c r="J226" t="s">
        <v>21</v>
      </c>
      <c r="K226" t="s">
        <v>22</v>
      </c>
      <c r="L226" t="s">
        <v>35</v>
      </c>
      <c r="M226" t="s">
        <v>14</v>
      </c>
    </row>
    <row r="227" spans="1:13" x14ac:dyDescent="0.3">
      <c r="A227">
        <v>41</v>
      </c>
      <c r="B227" t="s">
        <v>13</v>
      </c>
      <c r="C227" t="s">
        <v>14</v>
      </c>
      <c r="D227" t="s">
        <v>14</v>
      </c>
      <c r="E227" t="s">
        <v>37</v>
      </c>
      <c r="F227" t="s">
        <v>25</v>
      </c>
      <c r="G227" t="s">
        <v>33</v>
      </c>
      <c r="H227" t="s">
        <v>38</v>
      </c>
      <c r="I227" t="s">
        <v>28</v>
      </c>
      <c r="J227" t="s">
        <v>21</v>
      </c>
      <c r="K227" t="s">
        <v>22</v>
      </c>
      <c r="L227" t="s">
        <v>35</v>
      </c>
      <c r="M227" t="s">
        <v>14</v>
      </c>
    </row>
    <row r="228" spans="1:13" x14ac:dyDescent="0.3">
      <c r="A228">
        <v>41</v>
      </c>
      <c r="B228" t="s">
        <v>13</v>
      </c>
      <c r="C228" t="s">
        <v>14</v>
      </c>
      <c r="D228" t="s">
        <v>14</v>
      </c>
      <c r="E228" t="s">
        <v>37</v>
      </c>
      <c r="F228" t="s">
        <v>25</v>
      </c>
      <c r="G228" t="s">
        <v>33</v>
      </c>
      <c r="H228" t="s">
        <v>38</v>
      </c>
      <c r="I228" t="s">
        <v>28</v>
      </c>
      <c r="J228" t="s">
        <v>21</v>
      </c>
      <c r="K228" t="s">
        <v>22</v>
      </c>
      <c r="L228" t="s">
        <v>35</v>
      </c>
      <c r="M228" t="s">
        <v>14</v>
      </c>
    </row>
    <row r="229" spans="1:13" x14ac:dyDescent="0.3">
      <c r="A229">
        <v>41</v>
      </c>
      <c r="B229" t="s">
        <v>9</v>
      </c>
      <c r="C229" t="s">
        <v>14</v>
      </c>
      <c r="D229" t="s">
        <v>14</v>
      </c>
      <c r="E229" t="s">
        <v>16</v>
      </c>
      <c r="F229" t="s">
        <v>25</v>
      </c>
      <c r="G229" t="s">
        <v>33</v>
      </c>
      <c r="H229" t="s">
        <v>19</v>
      </c>
      <c r="I229" t="s">
        <v>28</v>
      </c>
      <c r="J229" t="s">
        <v>21</v>
      </c>
      <c r="K229" t="s">
        <v>22</v>
      </c>
      <c r="L229" t="s">
        <v>35</v>
      </c>
      <c r="M229" t="s">
        <v>14</v>
      </c>
    </row>
    <row r="230" spans="1:13" x14ac:dyDescent="0.3">
      <c r="A230">
        <v>41</v>
      </c>
      <c r="B230" t="s">
        <v>9</v>
      </c>
      <c r="C230" t="s">
        <v>14</v>
      </c>
      <c r="D230" t="s">
        <v>14</v>
      </c>
      <c r="E230" t="s">
        <v>43</v>
      </c>
      <c r="F230" t="s">
        <v>17</v>
      </c>
      <c r="G230" t="s">
        <v>18</v>
      </c>
      <c r="H230" t="s">
        <v>19</v>
      </c>
      <c r="I230" t="s">
        <v>28</v>
      </c>
      <c r="J230" t="s">
        <v>21</v>
      </c>
      <c r="K230" t="s">
        <v>22</v>
      </c>
      <c r="L230" t="s">
        <v>35</v>
      </c>
      <c r="M230" t="s">
        <v>14</v>
      </c>
    </row>
    <row r="231" spans="1:13" x14ac:dyDescent="0.3">
      <c r="A231">
        <v>42</v>
      </c>
      <c r="B231" t="s">
        <v>9</v>
      </c>
      <c r="C231" t="s">
        <v>14</v>
      </c>
      <c r="D231" t="s">
        <v>14</v>
      </c>
      <c r="E231" t="s">
        <v>16</v>
      </c>
      <c r="F231" t="s">
        <v>17</v>
      </c>
      <c r="G231" t="s">
        <v>33</v>
      </c>
      <c r="H231" t="s">
        <v>19</v>
      </c>
      <c r="I231" t="s">
        <v>28</v>
      </c>
      <c r="J231" t="s">
        <v>21</v>
      </c>
      <c r="K231" t="s">
        <v>22</v>
      </c>
      <c r="L231" t="s">
        <v>23</v>
      </c>
      <c r="M231" t="s">
        <v>24</v>
      </c>
    </row>
    <row r="232" spans="1:13" x14ac:dyDescent="0.3">
      <c r="A232">
        <v>42</v>
      </c>
      <c r="B232" t="s">
        <v>13</v>
      </c>
      <c r="C232" t="s">
        <v>14</v>
      </c>
      <c r="D232" t="s">
        <v>14</v>
      </c>
      <c r="E232" t="s">
        <v>16</v>
      </c>
      <c r="F232" t="s">
        <v>25</v>
      </c>
      <c r="G232" t="s">
        <v>33</v>
      </c>
      <c r="H232" t="s">
        <v>27</v>
      </c>
      <c r="I232" t="s">
        <v>28</v>
      </c>
      <c r="J232" t="s">
        <v>21</v>
      </c>
      <c r="K232" t="s">
        <v>22</v>
      </c>
      <c r="L232" t="s">
        <v>35</v>
      </c>
      <c r="M232" t="s">
        <v>14</v>
      </c>
    </row>
    <row r="233" spans="1:13" x14ac:dyDescent="0.3">
      <c r="A233">
        <v>42</v>
      </c>
      <c r="B233" t="s">
        <v>13</v>
      </c>
      <c r="C233" t="s">
        <v>14</v>
      </c>
      <c r="D233" t="s">
        <v>14</v>
      </c>
      <c r="E233" t="s">
        <v>16</v>
      </c>
      <c r="F233" t="s">
        <v>25</v>
      </c>
      <c r="G233" t="s">
        <v>33</v>
      </c>
      <c r="H233" t="s">
        <v>27</v>
      </c>
      <c r="I233" t="s">
        <v>28</v>
      </c>
      <c r="J233" t="s">
        <v>21</v>
      </c>
      <c r="K233" t="s">
        <v>22</v>
      </c>
      <c r="L233" t="s">
        <v>41</v>
      </c>
      <c r="M233" t="s">
        <v>14</v>
      </c>
    </row>
    <row r="234" spans="1:13" x14ac:dyDescent="0.3">
      <c r="A234">
        <v>42</v>
      </c>
      <c r="B234" t="s">
        <v>13</v>
      </c>
      <c r="C234" t="s">
        <v>14</v>
      </c>
      <c r="D234" t="s">
        <v>14</v>
      </c>
      <c r="E234" t="s">
        <v>16</v>
      </c>
      <c r="F234" t="s">
        <v>25</v>
      </c>
      <c r="G234" t="s">
        <v>33</v>
      </c>
      <c r="H234" t="s">
        <v>27</v>
      </c>
      <c r="I234" t="s">
        <v>28</v>
      </c>
      <c r="J234" t="s">
        <v>21</v>
      </c>
      <c r="K234" t="s">
        <v>22</v>
      </c>
      <c r="L234" t="s">
        <v>35</v>
      </c>
      <c r="M234" t="s">
        <v>14</v>
      </c>
    </row>
    <row r="235" spans="1:13" x14ac:dyDescent="0.3">
      <c r="A235">
        <v>42</v>
      </c>
      <c r="B235" t="s">
        <v>13</v>
      </c>
      <c r="C235" t="s">
        <v>14</v>
      </c>
      <c r="D235" t="s">
        <v>14</v>
      </c>
      <c r="E235" t="s">
        <v>16</v>
      </c>
      <c r="F235" t="s">
        <v>25</v>
      </c>
      <c r="G235" t="s">
        <v>33</v>
      </c>
      <c r="H235" t="s">
        <v>27</v>
      </c>
      <c r="I235" t="s">
        <v>28</v>
      </c>
      <c r="J235" t="s">
        <v>21</v>
      </c>
      <c r="K235" t="s">
        <v>22</v>
      </c>
      <c r="L235" t="s">
        <v>35</v>
      </c>
      <c r="M235" t="s">
        <v>14</v>
      </c>
    </row>
    <row r="236" spans="1:13" x14ac:dyDescent="0.3">
      <c r="A236">
        <v>42</v>
      </c>
      <c r="B236" t="s">
        <v>13</v>
      </c>
      <c r="C236" t="s">
        <v>14</v>
      </c>
      <c r="D236" t="s">
        <v>14</v>
      </c>
      <c r="E236" t="s">
        <v>37</v>
      </c>
      <c r="F236" t="s">
        <v>25</v>
      </c>
      <c r="G236" t="s">
        <v>33</v>
      </c>
      <c r="H236" t="s">
        <v>38</v>
      </c>
      <c r="I236" t="s">
        <v>28</v>
      </c>
      <c r="J236" t="s">
        <v>21</v>
      </c>
      <c r="K236" t="s">
        <v>22</v>
      </c>
      <c r="L236" t="s">
        <v>31</v>
      </c>
      <c r="M236" t="s">
        <v>14</v>
      </c>
    </row>
    <row r="237" spans="1:13" x14ac:dyDescent="0.3">
      <c r="A237">
        <v>42</v>
      </c>
      <c r="B237" t="s">
        <v>13</v>
      </c>
      <c r="C237" t="s">
        <v>14</v>
      </c>
      <c r="D237" t="s">
        <v>14</v>
      </c>
      <c r="E237" t="s">
        <v>42</v>
      </c>
      <c r="F237" t="s">
        <v>25</v>
      </c>
      <c r="G237" t="s">
        <v>33</v>
      </c>
      <c r="H237" t="s">
        <v>27</v>
      </c>
      <c r="I237" t="s">
        <v>28</v>
      </c>
      <c r="J237" t="s">
        <v>21</v>
      </c>
      <c r="K237" t="s">
        <v>22</v>
      </c>
      <c r="L237" t="s">
        <v>31</v>
      </c>
      <c r="M237" t="s">
        <v>14</v>
      </c>
    </row>
    <row r="238" spans="1:13" x14ac:dyDescent="0.3">
      <c r="A238">
        <v>42</v>
      </c>
      <c r="B238" t="s">
        <v>13</v>
      </c>
      <c r="C238" t="s">
        <v>14</v>
      </c>
      <c r="D238" t="s">
        <v>14</v>
      </c>
      <c r="E238" t="s">
        <v>16</v>
      </c>
      <c r="F238" t="s">
        <v>17</v>
      </c>
      <c r="G238" t="s">
        <v>18</v>
      </c>
      <c r="H238" t="s">
        <v>39</v>
      </c>
      <c r="I238" t="s">
        <v>28</v>
      </c>
      <c r="J238" t="s">
        <v>21</v>
      </c>
      <c r="K238" t="s">
        <v>22</v>
      </c>
      <c r="L238" t="s">
        <v>31</v>
      </c>
      <c r="M238" t="s">
        <v>14</v>
      </c>
    </row>
    <row r="239" spans="1:13" x14ac:dyDescent="0.3">
      <c r="A239">
        <v>42</v>
      </c>
      <c r="B239" t="s">
        <v>9</v>
      </c>
      <c r="C239" t="s">
        <v>14</v>
      </c>
      <c r="D239" t="s">
        <v>14</v>
      </c>
      <c r="E239" t="s">
        <v>16</v>
      </c>
      <c r="F239" t="s">
        <v>17</v>
      </c>
      <c r="G239" t="s">
        <v>18</v>
      </c>
      <c r="H239" t="s">
        <v>19</v>
      </c>
      <c r="I239" t="s">
        <v>36</v>
      </c>
      <c r="J239" t="s">
        <v>21</v>
      </c>
      <c r="K239" t="s">
        <v>22</v>
      </c>
      <c r="L239" t="s">
        <v>31</v>
      </c>
      <c r="M239" t="s">
        <v>14</v>
      </c>
    </row>
    <row r="240" spans="1:13" x14ac:dyDescent="0.3">
      <c r="A240">
        <v>43</v>
      </c>
      <c r="B240" t="s">
        <v>9</v>
      </c>
      <c r="C240" t="s">
        <v>14</v>
      </c>
      <c r="D240" t="s">
        <v>14</v>
      </c>
      <c r="E240" t="s">
        <v>37</v>
      </c>
      <c r="F240" t="s">
        <v>17</v>
      </c>
      <c r="G240" t="s">
        <v>33</v>
      </c>
      <c r="H240" t="s">
        <v>38</v>
      </c>
      <c r="I240" t="s">
        <v>28</v>
      </c>
      <c r="J240" t="s">
        <v>21</v>
      </c>
      <c r="K240" t="s">
        <v>22</v>
      </c>
      <c r="L240" t="s">
        <v>35</v>
      </c>
      <c r="M240" t="s">
        <v>14</v>
      </c>
    </row>
    <row r="241" spans="1:13" x14ac:dyDescent="0.3">
      <c r="A241">
        <v>43</v>
      </c>
      <c r="B241" t="s">
        <v>13</v>
      </c>
      <c r="C241" t="s">
        <v>14</v>
      </c>
      <c r="D241" t="s">
        <v>14</v>
      </c>
      <c r="E241" t="s">
        <v>16</v>
      </c>
      <c r="F241" t="s">
        <v>25</v>
      </c>
      <c r="G241" t="s">
        <v>33</v>
      </c>
      <c r="H241" t="s">
        <v>34</v>
      </c>
      <c r="I241" t="s">
        <v>28</v>
      </c>
      <c r="J241" t="s">
        <v>21</v>
      </c>
      <c r="K241" t="s">
        <v>22</v>
      </c>
      <c r="L241" t="s">
        <v>35</v>
      </c>
      <c r="M241" t="s">
        <v>14</v>
      </c>
    </row>
    <row r="242" spans="1:13" x14ac:dyDescent="0.3">
      <c r="A242">
        <v>43</v>
      </c>
      <c r="B242" t="s">
        <v>13</v>
      </c>
      <c r="C242" t="s">
        <v>14</v>
      </c>
      <c r="D242" t="s">
        <v>14</v>
      </c>
      <c r="E242" t="s">
        <v>16</v>
      </c>
      <c r="F242" t="s">
        <v>25</v>
      </c>
      <c r="G242" t="s">
        <v>33</v>
      </c>
      <c r="H242" t="s">
        <v>34</v>
      </c>
      <c r="I242" t="s">
        <v>28</v>
      </c>
      <c r="J242" t="s">
        <v>21</v>
      </c>
      <c r="K242" t="s">
        <v>22</v>
      </c>
      <c r="L242" t="s">
        <v>31</v>
      </c>
      <c r="M242" t="s">
        <v>14</v>
      </c>
    </row>
    <row r="243" spans="1:13" x14ac:dyDescent="0.3">
      <c r="A243">
        <v>43</v>
      </c>
      <c r="B243" t="s">
        <v>13</v>
      </c>
      <c r="C243" t="s">
        <v>14</v>
      </c>
      <c r="D243" t="s">
        <v>14</v>
      </c>
      <c r="E243" t="s">
        <v>37</v>
      </c>
      <c r="F243" t="s">
        <v>25</v>
      </c>
      <c r="G243" t="s">
        <v>33</v>
      </c>
      <c r="H243" t="s">
        <v>38</v>
      </c>
      <c r="I243" t="s">
        <v>28</v>
      </c>
      <c r="J243" t="s">
        <v>21</v>
      </c>
      <c r="K243" t="s">
        <v>22</v>
      </c>
      <c r="L243" t="s">
        <v>35</v>
      </c>
      <c r="M243" t="s">
        <v>14</v>
      </c>
    </row>
    <row r="244" spans="1:13" x14ac:dyDescent="0.3">
      <c r="A244">
        <v>43</v>
      </c>
      <c r="B244" t="s">
        <v>13</v>
      </c>
      <c r="C244" t="s">
        <v>14</v>
      </c>
      <c r="D244" t="s">
        <v>14</v>
      </c>
      <c r="E244" t="s">
        <v>37</v>
      </c>
      <c r="F244" t="s">
        <v>25</v>
      </c>
      <c r="G244" t="s">
        <v>33</v>
      </c>
      <c r="H244" t="s">
        <v>34</v>
      </c>
      <c r="I244" t="s">
        <v>28</v>
      </c>
      <c r="J244" t="s">
        <v>21</v>
      </c>
      <c r="K244" t="s">
        <v>22</v>
      </c>
      <c r="L244" t="s">
        <v>35</v>
      </c>
      <c r="M244" t="s">
        <v>14</v>
      </c>
    </row>
    <row r="245" spans="1:13" x14ac:dyDescent="0.3">
      <c r="A245">
        <v>43</v>
      </c>
      <c r="B245" t="s">
        <v>9</v>
      </c>
      <c r="C245" t="s">
        <v>14</v>
      </c>
      <c r="D245" t="s">
        <v>14</v>
      </c>
      <c r="E245" t="s">
        <v>37</v>
      </c>
      <c r="F245" t="s">
        <v>25</v>
      </c>
      <c r="G245" t="s">
        <v>33</v>
      </c>
      <c r="H245" t="s">
        <v>38</v>
      </c>
      <c r="I245" t="s">
        <v>28</v>
      </c>
      <c r="J245" t="s">
        <v>21</v>
      </c>
      <c r="K245" t="s">
        <v>22</v>
      </c>
      <c r="L245" t="s">
        <v>35</v>
      </c>
      <c r="M245" t="s">
        <v>14</v>
      </c>
    </row>
    <row r="246" spans="1:13" x14ac:dyDescent="0.3">
      <c r="A246">
        <v>44</v>
      </c>
      <c r="B246" t="s">
        <v>13</v>
      </c>
      <c r="C246" t="s">
        <v>14</v>
      </c>
      <c r="D246" t="s">
        <v>14</v>
      </c>
      <c r="E246" t="s">
        <v>16</v>
      </c>
      <c r="F246" t="s">
        <v>17</v>
      </c>
      <c r="G246" t="s">
        <v>33</v>
      </c>
      <c r="H246" t="s">
        <v>27</v>
      </c>
      <c r="I246" t="s">
        <v>28</v>
      </c>
      <c r="J246" t="s">
        <v>21</v>
      </c>
      <c r="K246" t="s">
        <v>22</v>
      </c>
      <c r="L246" t="s">
        <v>35</v>
      </c>
      <c r="M246" t="s">
        <v>14</v>
      </c>
    </row>
    <row r="247" spans="1:13" x14ac:dyDescent="0.3">
      <c r="A247">
        <v>44</v>
      </c>
      <c r="B247" t="s">
        <v>13</v>
      </c>
      <c r="C247" t="s">
        <v>14</v>
      </c>
      <c r="D247" t="s">
        <v>14</v>
      </c>
      <c r="E247" t="s">
        <v>16</v>
      </c>
      <c r="F247" t="s">
        <v>25</v>
      </c>
      <c r="G247" t="s">
        <v>33</v>
      </c>
      <c r="H247" t="s">
        <v>27</v>
      </c>
      <c r="I247" t="s">
        <v>28</v>
      </c>
      <c r="J247" t="s">
        <v>21</v>
      </c>
      <c r="K247" t="s">
        <v>22</v>
      </c>
      <c r="L247" t="s">
        <v>35</v>
      </c>
      <c r="M247" t="s">
        <v>14</v>
      </c>
    </row>
    <row r="248" spans="1:13" x14ac:dyDescent="0.3">
      <c r="A248">
        <v>44</v>
      </c>
      <c r="B248" t="s">
        <v>13</v>
      </c>
      <c r="C248" t="s">
        <v>14</v>
      </c>
      <c r="D248" t="s">
        <v>14</v>
      </c>
      <c r="E248" t="s">
        <v>16</v>
      </c>
      <c r="F248" t="s">
        <v>25</v>
      </c>
      <c r="G248" t="s">
        <v>33</v>
      </c>
      <c r="H248" t="s">
        <v>27</v>
      </c>
      <c r="I248" t="s">
        <v>28</v>
      </c>
      <c r="J248" t="s">
        <v>21</v>
      </c>
      <c r="K248" t="s">
        <v>22</v>
      </c>
      <c r="L248" t="s">
        <v>35</v>
      </c>
      <c r="M248" t="s">
        <v>14</v>
      </c>
    </row>
    <row r="249" spans="1:13" x14ac:dyDescent="0.3">
      <c r="A249">
        <v>44</v>
      </c>
      <c r="B249" t="s">
        <v>13</v>
      </c>
      <c r="C249" t="s">
        <v>14</v>
      </c>
      <c r="D249" t="s">
        <v>14</v>
      </c>
      <c r="E249" t="s">
        <v>37</v>
      </c>
      <c r="F249" t="s">
        <v>25</v>
      </c>
      <c r="G249" t="s">
        <v>33</v>
      </c>
      <c r="H249" t="s">
        <v>38</v>
      </c>
      <c r="I249" t="s">
        <v>28</v>
      </c>
      <c r="J249" t="s">
        <v>21</v>
      </c>
      <c r="K249" t="s">
        <v>22</v>
      </c>
      <c r="L249" t="s">
        <v>31</v>
      </c>
      <c r="M249" t="s">
        <v>14</v>
      </c>
    </row>
    <row r="250" spans="1:13" x14ac:dyDescent="0.3">
      <c r="A250">
        <v>44</v>
      </c>
      <c r="B250" t="s">
        <v>13</v>
      </c>
      <c r="C250" t="s">
        <v>14</v>
      </c>
      <c r="D250" t="s">
        <v>14</v>
      </c>
      <c r="E250" t="s">
        <v>37</v>
      </c>
      <c r="F250" t="s">
        <v>25</v>
      </c>
      <c r="G250" t="s">
        <v>33</v>
      </c>
      <c r="H250" t="s">
        <v>38</v>
      </c>
      <c r="I250" t="s">
        <v>28</v>
      </c>
      <c r="J250" t="s">
        <v>21</v>
      </c>
      <c r="K250" t="s">
        <v>22</v>
      </c>
      <c r="L250" t="s">
        <v>35</v>
      </c>
      <c r="M250" t="s">
        <v>14</v>
      </c>
    </row>
    <row r="251" spans="1:13" x14ac:dyDescent="0.3">
      <c r="A251">
        <v>44</v>
      </c>
      <c r="B251" t="s">
        <v>9</v>
      </c>
      <c r="C251" t="s">
        <v>14</v>
      </c>
      <c r="D251" t="s">
        <v>14</v>
      </c>
      <c r="E251" t="s">
        <v>42</v>
      </c>
      <c r="F251" t="s">
        <v>25</v>
      </c>
      <c r="G251" t="s">
        <v>33</v>
      </c>
      <c r="H251" t="s">
        <v>27</v>
      </c>
      <c r="I251" t="s">
        <v>28</v>
      </c>
      <c r="J251" t="s">
        <v>21</v>
      </c>
      <c r="K251" t="s">
        <v>22</v>
      </c>
      <c r="L251" t="s">
        <v>35</v>
      </c>
      <c r="M251" t="s">
        <v>14</v>
      </c>
    </row>
    <row r="252" spans="1:13" x14ac:dyDescent="0.3">
      <c r="A252">
        <v>44</v>
      </c>
      <c r="B252" t="s">
        <v>13</v>
      </c>
      <c r="C252" t="s">
        <v>14</v>
      </c>
      <c r="D252" t="s">
        <v>40</v>
      </c>
      <c r="E252" t="s">
        <v>16</v>
      </c>
      <c r="F252" t="s">
        <v>17</v>
      </c>
      <c r="G252" t="s">
        <v>18</v>
      </c>
      <c r="H252" t="s">
        <v>39</v>
      </c>
      <c r="I252" t="s">
        <v>20</v>
      </c>
      <c r="J252" t="s">
        <v>21</v>
      </c>
      <c r="K252" t="s">
        <v>22</v>
      </c>
      <c r="L252" t="s">
        <v>23</v>
      </c>
      <c r="M252" t="s">
        <v>24</v>
      </c>
    </row>
    <row r="253" spans="1:13" x14ac:dyDescent="0.3">
      <c r="A253">
        <v>44</v>
      </c>
      <c r="B253" t="s">
        <v>9</v>
      </c>
      <c r="C253" t="s">
        <v>14</v>
      </c>
      <c r="D253" t="s">
        <v>30</v>
      </c>
      <c r="E253" t="s">
        <v>16</v>
      </c>
      <c r="F253" t="s">
        <v>17</v>
      </c>
      <c r="G253" t="s">
        <v>26</v>
      </c>
      <c r="H253" t="s">
        <v>19</v>
      </c>
      <c r="I253" t="s">
        <v>20</v>
      </c>
      <c r="J253" t="s">
        <v>46</v>
      </c>
      <c r="K253" t="s">
        <v>47</v>
      </c>
      <c r="L253" t="s">
        <v>23</v>
      </c>
      <c r="M253" t="s">
        <v>24</v>
      </c>
    </row>
    <row r="254" spans="1:13" x14ac:dyDescent="0.3">
      <c r="A254">
        <v>44</v>
      </c>
      <c r="B254" t="s">
        <v>13</v>
      </c>
      <c r="C254" t="s">
        <v>14</v>
      </c>
      <c r="D254" t="s">
        <v>30</v>
      </c>
      <c r="E254" t="s">
        <v>16</v>
      </c>
      <c r="F254" t="s">
        <v>17</v>
      </c>
      <c r="G254" t="s">
        <v>18</v>
      </c>
      <c r="H254" t="s">
        <v>19</v>
      </c>
      <c r="I254" t="s">
        <v>20</v>
      </c>
      <c r="J254" t="s">
        <v>21</v>
      </c>
      <c r="K254" t="s">
        <v>22</v>
      </c>
      <c r="L254" t="s">
        <v>35</v>
      </c>
      <c r="M254" t="s">
        <v>14</v>
      </c>
    </row>
    <row r="255" spans="1:13" x14ac:dyDescent="0.3">
      <c r="A255">
        <v>45</v>
      </c>
      <c r="B255" t="s">
        <v>13</v>
      </c>
      <c r="C255" t="s">
        <v>14</v>
      </c>
      <c r="D255" t="s">
        <v>14</v>
      </c>
      <c r="E255" t="s">
        <v>16</v>
      </c>
      <c r="F255" t="s">
        <v>17</v>
      </c>
      <c r="G255" t="s">
        <v>33</v>
      </c>
      <c r="H255" t="s">
        <v>27</v>
      </c>
      <c r="I255" t="s">
        <v>28</v>
      </c>
      <c r="J255" t="s">
        <v>21</v>
      </c>
      <c r="K255" t="s">
        <v>22</v>
      </c>
      <c r="L255" t="s">
        <v>35</v>
      </c>
      <c r="M255" t="s">
        <v>14</v>
      </c>
    </row>
    <row r="256" spans="1:13" x14ac:dyDescent="0.3">
      <c r="A256">
        <v>45</v>
      </c>
      <c r="B256" t="s">
        <v>13</v>
      </c>
      <c r="C256" t="s">
        <v>14</v>
      </c>
      <c r="D256" t="s">
        <v>14</v>
      </c>
      <c r="E256" t="s">
        <v>16</v>
      </c>
      <c r="F256" t="s">
        <v>17</v>
      </c>
      <c r="G256" t="s">
        <v>33</v>
      </c>
      <c r="H256" t="s">
        <v>27</v>
      </c>
      <c r="I256" t="s">
        <v>28</v>
      </c>
      <c r="J256" t="s">
        <v>21</v>
      </c>
      <c r="K256" t="s">
        <v>22</v>
      </c>
      <c r="L256" t="s">
        <v>41</v>
      </c>
      <c r="M256" t="s">
        <v>14</v>
      </c>
    </row>
    <row r="257" spans="1:13" x14ac:dyDescent="0.3">
      <c r="A257">
        <v>45</v>
      </c>
      <c r="B257" t="s">
        <v>13</v>
      </c>
      <c r="C257" t="s">
        <v>14</v>
      </c>
      <c r="D257" t="s">
        <v>14</v>
      </c>
      <c r="E257" t="s">
        <v>16</v>
      </c>
      <c r="F257" t="s">
        <v>17</v>
      </c>
      <c r="G257" t="s">
        <v>33</v>
      </c>
      <c r="H257" t="s">
        <v>19</v>
      </c>
      <c r="I257" t="s">
        <v>28</v>
      </c>
      <c r="J257" t="s">
        <v>21</v>
      </c>
      <c r="K257" t="s">
        <v>22</v>
      </c>
      <c r="L257" t="s">
        <v>31</v>
      </c>
      <c r="M257" t="s">
        <v>14</v>
      </c>
    </row>
    <row r="258" spans="1:13" x14ac:dyDescent="0.3">
      <c r="A258">
        <v>45</v>
      </c>
      <c r="B258" t="s">
        <v>13</v>
      </c>
      <c r="C258" t="s">
        <v>14</v>
      </c>
      <c r="D258" t="s">
        <v>14</v>
      </c>
      <c r="E258" t="s">
        <v>16</v>
      </c>
      <c r="F258" t="s">
        <v>25</v>
      </c>
      <c r="G258" t="s">
        <v>33</v>
      </c>
      <c r="H258" t="s">
        <v>27</v>
      </c>
      <c r="I258" t="s">
        <v>28</v>
      </c>
      <c r="J258" t="s">
        <v>21</v>
      </c>
      <c r="K258" t="s">
        <v>22</v>
      </c>
      <c r="L258" t="s">
        <v>35</v>
      </c>
      <c r="M258" t="s">
        <v>14</v>
      </c>
    </row>
    <row r="259" spans="1:13" x14ac:dyDescent="0.3">
      <c r="A259">
        <v>45</v>
      </c>
      <c r="B259" t="s">
        <v>13</v>
      </c>
      <c r="C259" t="s">
        <v>14</v>
      </c>
      <c r="D259" t="s">
        <v>14</v>
      </c>
      <c r="E259" t="s">
        <v>16</v>
      </c>
      <c r="F259" t="s">
        <v>25</v>
      </c>
      <c r="G259" t="s">
        <v>33</v>
      </c>
      <c r="H259" t="s">
        <v>19</v>
      </c>
      <c r="I259" t="s">
        <v>28</v>
      </c>
      <c r="J259" t="s">
        <v>21</v>
      </c>
      <c r="K259" t="s">
        <v>22</v>
      </c>
      <c r="L259" t="s">
        <v>35</v>
      </c>
      <c r="M259" t="s">
        <v>14</v>
      </c>
    </row>
    <row r="260" spans="1:13" x14ac:dyDescent="0.3">
      <c r="A260">
        <v>45</v>
      </c>
      <c r="B260" t="s">
        <v>13</v>
      </c>
      <c r="C260" t="s">
        <v>14</v>
      </c>
      <c r="D260" t="s">
        <v>14</v>
      </c>
      <c r="E260" t="s">
        <v>37</v>
      </c>
      <c r="F260" t="s">
        <v>25</v>
      </c>
      <c r="G260" t="s">
        <v>33</v>
      </c>
      <c r="H260" t="s">
        <v>38</v>
      </c>
      <c r="I260" t="s">
        <v>28</v>
      </c>
      <c r="J260" t="s">
        <v>21</v>
      </c>
      <c r="K260" t="s">
        <v>22</v>
      </c>
      <c r="L260" t="s">
        <v>35</v>
      </c>
      <c r="M260" t="s">
        <v>14</v>
      </c>
    </row>
    <row r="261" spans="1:13" x14ac:dyDescent="0.3">
      <c r="A261">
        <v>45</v>
      </c>
      <c r="B261" t="s">
        <v>13</v>
      </c>
      <c r="C261" t="s">
        <v>14</v>
      </c>
      <c r="D261" t="s">
        <v>40</v>
      </c>
      <c r="E261" t="s">
        <v>16</v>
      </c>
      <c r="F261" t="s">
        <v>17</v>
      </c>
      <c r="G261" t="s">
        <v>18</v>
      </c>
      <c r="H261" t="s">
        <v>19</v>
      </c>
      <c r="I261" t="s">
        <v>20</v>
      </c>
      <c r="J261" t="s">
        <v>21</v>
      </c>
      <c r="K261" t="s">
        <v>22</v>
      </c>
      <c r="L261" t="s">
        <v>23</v>
      </c>
      <c r="M261" t="s">
        <v>24</v>
      </c>
    </row>
    <row r="262" spans="1:13" x14ac:dyDescent="0.3">
      <c r="A262">
        <v>46</v>
      </c>
      <c r="B262" t="s">
        <v>13</v>
      </c>
      <c r="C262" t="s">
        <v>14</v>
      </c>
      <c r="D262" t="s">
        <v>14</v>
      </c>
      <c r="E262" t="s">
        <v>16</v>
      </c>
      <c r="F262" t="s">
        <v>17</v>
      </c>
      <c r="G262" t="s">
        <v>33</v>
      </c>
      <c r="H262" t="s">
        <v>19</v>
      </c>
      <c r="I262" t="s">
        <v>28</v>
      </c>
      <c r="J262" t="s">
        <v>21</v>
      </c>
      <c r="K262" t="s">
        <v>22</v>
      </c>
      <c r="L262" t="s">
        <v>31</v>
      </c>
      <c r="M262" t="s">
        <v>14</v>
      </c>
    </row>
    <row r="263" spans="1:13" x14ac:dyDescent="0.3">
      <c r="A263">
        <v>46</v>
      </c>
      <c r="B263" t="s">
        <v>13</v>
      </c>
      <c r="C263" t="s">
        <v>14</v>
      </c>
      <c r="D263" t="s">
        <v>14</v>
      </c>
      <c r="E263" t="s">
        <v>43</v>
      </c>
      <c r="F263" t="s">
        <v>17</v>
      </c>
      <c r="G263" t="s">
        <v>33</v>
      </c>
      <c r="H263" t="s">
        <v>19</v>
      </c>
      <c r="I263" t="s">
        <v>28</v>
      </c>
      <c r="J263" t="s">
        <v>21</v>
      </c>
      <c r="K263" t="s">
        <v>22</v>
      </c>
      <c r="L263" t="s">
        <v>35</v>
      </c>
      <c r="M263" t="s">
        <v>14</v>
      </c>
    </row>
    <row r="264" spans="1:13" x14ac:dyDescent="0.3">
      <c r="A264">
        <v>46</v>
      </c>
      <c r="B264" t="s">
        <v>13</v>
      </c>
      <c r="C264" t="s">
        <v>14</v>
      </c>
      <c r="D264" t="s">
        <v>14</v>
      </c>
      <c r="E264" t="s">
        <v>37</v>
      </c>
      <c r="F264" t="s">
        <v>25</v>
      </c>
      <c r="G264" t="s">
        <v>33</v>
      </c>
      <c r="H264" t="s">
        <v>38</v>
      </c>
      <c r="I264" t="s">
        <v>28</v>
      </c>
      <c r="J264" t="s">
        <v>21</v>
      </c>
      <c r="K264" t="s">
        <v>22</v>
      </c>
      <c r="L264" t="s">
        <v>35</v>
      </c>
      <c r="M264" t="s">
        <v>14</v>
      </c>
    </row>
    <row r="265" spans="1:13" x14ac:dyDescent="0.3">
      <c r="A265">
        <v>46</v>
      </c>
      <c r="B265" t="s">
        <v>9</v>
      </c>
      <c r="C265" t="s">
        <v>14</v>
      </c>
      <c r="D265" t="s">
        <v>15</v>
      </c>
      <c r="E265" t="s">
        <v>42</v>
      </c>
      <c r="F265" t="s">
        <v>25</v>
      </c>
      <c r="G265" t="s">
        <v>26</v>
      </c>
      <c r="H265" t="s">
        <v>49</v>
      </c>
      <c r="I265" t="s">
        <v>20</v>
      </c>
      <c r="J265" t="s">
        <v>46</v>
      </c>
      <c r="K265" t="s">
        <v>47</v>
      </c>
      <c r="L265" t="s">
        <v>23</v>
      </c>
      <c r="M265" t="s">
        <v>24</v>
      </c>
    </row>
    <row r="266" spans="1:13" x14ac:dyDescent="0.3">
      <c r="A266">
        <v>46</v>
      </c>
      <c r="B266" t="s">
        <v>13</v>
      </c>
      <c r="C266" t="s">
        <v>14</v>
      </c>
      <c r="D266" t="s">
        <v>15</v>
      </c>
      <c r="E266" t="s">
        <v>16</v>
      </c>
      <c r="F266" t="s">
        <v>17</v>
      </c>
      <c r="G266" t="s">
        <v>18</v>
      </c>
      <c r="H266" t="s">
        <v>19</v>
      </c>
      <c r="I266" t="s">
        <v>20</v>
      </c>
      <c r="J266" t="s">
        <v>21</v>
      </c>
      <c r="K266" t="s">
        <v>22</v>
      </c>
      <c r="L266" t="s">
        <v>31</v>
      </c>
      <c r="M266" t="s">
        <v>14</v>
      </c>
    </row>
    <row r="267" spans="1:13" x14ac:dyDescent="0.3">
      <c r="A267">
        <v>47</v>
      </c>
      <c r="B267" t="s">
        <v>13</v>
      </c>
      <c r="C267" t="s">
        <v>14</v>
      </c>
      <c r="D267" t="s">
        <v>14</v>
      </c>
      <c r="E267" t="s">
        <v>16</v>
      </c>
      <c r="F267" t="s">
        <v>25</v>
      </c>
      <c r="G267" t="s">
        <v>33</v>
      </c>
      <c r="H267" t="s">
        <v>27</v>
      </c>
      <c r="I267" t="s">
        <v>28</v>
      </c>
      <c r="J267" t="s">
        <v>21</v>
      </c>
      <c r="K267" t="s">
        <v>22</v>
      </c>
      <c r="L267" t="s">
        <v>35</v>
      </c>
      <c r="M267" t="s">
        <v>14</v>
      </c>
    </row>
    <row r="268" spans="1:13" x14ac:dyDescent="0.3">
      <c r="A268">
        <v>47</v>
      </c>
      <c r="B268" t="s">
        <v>13</v>
      </c>
      <c r="C268" t="s">
        <v>14</v>
      </c>
      <c r="D268" t="s">
        <v>14</v>
      </c>
      <c r="E268" t="s">
        <v>42</v>
      </c>
      <c r="F268" t="s">
        <v>25</v>
      </c>
      <c r="G268" t="s">
        <v>18</v>
      </c>
      <c r="H268" t="s">
        <v>19</v>
      </c>
      <c r="I268" t="s">
        <v>28</v>
      </c>
      <c r="J268" t="s">
        <v>21</v>
      </c>
      <c r="K268" t="s">
        <v>22</v>
      </c>
      <c r="L268" t="s">
        <v>31</v>
      </c>
      <c r="M268" t="s">
        <v>14</v>
      </c>
    </row>
    <row r="269" spans="1:13" x14ac:dyDescent="0.3">
      <c r="A269">
        <v>48</v>
      </c>
      <c r="B269" t="s">
        <v>13</v>
      </c>
      <c r="C269" t="s">
        <v>14</v>
      </c>
      <c r="D269" t="s">
        <v>14</v>
      </c>
      <c r="E269" t="s">
        <v>16</v>
      </c>
      <c r="F269" t="s">
        <v>17</v>
      </c>
      <c r="G269" t="s">
        <v>33</v>
      </c>
      <c r="H269" t="s">
        <v>19</v>
      </c>
      <c r="I269" t="s">
        <v>28</v>
      </c>
      <c r="J269" t="s">
        <v>21</v>
      </c>
      <c r="K269" t="s">
        <v>22</v>
      </c>
      <c r="L269" t="s">
        <v>31</v>
      </c>
      <c r="M269" t="s">
        <v>14</v>
      </c>
    </row>
    <row r="270" spans="1:13" x14ac:dyDescent="0.3">
      <c r="A270">
        <v>48</v>
      </c>
      <c r="B270" t="s">
        <v>13</v>
      </c>
      <c r="C270" t="s">
        <v>14</v>
      </c>
      <c r="D270" t="s">
        <v>40</v>
      </c>
      <c r="E270" t="s">
        <v>43</v>
      </c>
      <c r="F270" t="s">
        <v>17</v>
      </c>
      <c r="G270" t="s">
        <v>18</v>
      </c>
      <c r="H270" t="s">
        <v>39</v>
      </c>
      <c r="I270" t="s">
        <v>36</v>
      </c>
      <c r="J270" t="s">
        <v>21</v>
      </c>
      <c r="K270" t="s">
        <v>22</v>
      </c>
      <c r="L270" t="s">
        <v>23</v>
      </c>
      <c r="M270" t="s">
        <v>14</v>
      </c>
    </row>
    <row r="271" spans="1:13" x14ac:dyDescent="0.3">
      <c r="A271">
        <v>48</v>
      </c>
      <c r="B271" t="s">
        <v>9</v>
      </c>
      <c r="C271" t="s">
        <v>14</v>
      </c>
      <c r="D271" t="s">
        <v>40</v>
      </c>
      <c r="E271" t="s">
        <v>16</v>
      </c>
      <c r="F271" t="s">
        <v>25</v>
      </c>
      <c r="G271" t="s">
        <v>18</v>
      </c>
      <c r="H271" t="s">
        <v>27</v>
      </c>
      <c r="I271" t="s">
        <v>36</v>
      </c>
      <c r="J271" t="s">
        <v>21</v>
      </c>
      <c r="K271" t="s">
        <v>22</v>
      </c>
      <c r="L271" t="s">
        <v>31</v>
      </c>
      <c r="M271" t="s">
        <v>14</v>
      </c>
    </row>
    <row r="272" spans="1:13" x14ac:dyDescent="0.3">
      <c r="A272">
        <v>48</v>
      </c>
      <c r="B272" t="s">
        <v>13</v>
      </c>
      <c r="C272" t="s">
        <v>14</v>
      </c>
      <c r="D272" t="s">
        <v>15</v>
      </c>
      <c r="E272" t="s">
        <v>16</v>
      </c>
      <c r="F272" t="s">
        <v>17</v>
      </c>
      <c r="G272" t="s">
        <v>18</v>
      </c>
      <c r="H272" t="s">
        <v>19</v>
      </c>
      <c r="I272" t="s">
        <v>20</v>
      </c>
      <c r="J272" t="s">
        <v>21</v>
      </c>
      <c r="K272" t="s">
        <v>22</v>
      </c>
      <c r="L272" t="s">
        <v>23</v>
      </c>
      <c r="M272" t="s">
        <v>24</v>
      </c>
    </row>
    <row r="273" spans="1:13" x14ac:dyDescent="0.3">
      <c r="A273">
        <v>49</v>
      </c>
      <c r="B273" t="s">
        <v>13</v>
      </c>
      <c r="C273" t="s">
        <v>14</v>
      </c>
      <c r="D273" t="s">
        <v>14</v>
      </c>
      <c r="E273" t="s">
        <v>16</v>
      </c>
      <c r="F273" t="s">
        <v>25</v>
      </c>
      <c r="G273" t="s">
        <v>33</v>
      </c>
      <c r="H273" t="s">
        <v>27</v>
      </c>
      <c r="I273" t="s">
        <v>28</v>
      </c>
      <c r="J273" t="s">
        <v>21</v>
      </c>
      <c r="K273" t="s">
        <v>22</v>
      </c>
      <c r="L273" t="s">
        <v>35</v>
      </c>
      <c r="M273" t="s">
        <v>14</v>
      </c>
    </row>
    <row r="274" spans="1:13" x14ac:dyDescent="0.3">
      <c r="A274">
        <v>49</v>
      </c>
      <c r="B274" t="s">
        <v>13</v>
      </c>
      <c r="C274" t="s">
        <v>14</v>
      </c>
      <c r="D274" t="s">
        <v>14</v>
      </c>
      <c r="E274" t="s">
        <v>37</v>
      </c>
      <c r="F274" t="s">
        <v>25</v>
      </c>
      <c r="G274" t="s">
        <v>33</v>
      </c>
      <c r="H274" t="s">
        <v>38</v>
      </c>
      <c r="I274" t="s">
        <v>28</v>
      </c>
      <c r="J274" t="s">
        <v>21</v>
      </c>
      <c r="K274" t="s">
        <v>22</v>
      </c>
      <c r="L274" t="s">
        <v>35</v>
      </c>
      <c r="M274" t="s">
        <v>14</v>
      </c>
    </row>
    <row r="275" spans="1:13" x14ac:dyDescent="0.3">
      <c r="A275">
        <v>49</v>
      </c>
      <c r="B275" t="s">
        <v>9</v>
      </c>
      <c r="C275" t="s">
        <v>14</v>
      </c>
      <c r="D275" t="s">
        <v>15</v>
      </c>
      <c r="E275" t="s">
        <v>16</v>
      </c>
      <c r="F275" t="s">
        <v>17</v>
      </c>
      <c r="G275" t="s">
        <v>26</v>
      </c>
      <c r="H275" t="s">
        <v>44</v>
      </c>
      <c r="I275" t="s">
        <v>20</v>
      </c>
      <c r="J275" t="s">
        <v>21</v>
      </c>
      <c r="K275" t="s">
        <v>22</v>
      </c>
      <c r="L275" t="s">
        <v>23</v>
      </c>
      <c r="M275" t="s">
        <v>24</v>
      </c>
    </row>
    <row r="276" spans="1:13" x14ac:dyDescent="0.3">
      <c r="A276">
        <v>49</v>
      </c>
      <c r="B276" t="s">
        <v>13</v>
      </c>
      <c r="C276" t="s">
        <v>14</v>
      </c>
      <c r="D276" t="s">
        <v>30</v>
      </c>
      <c r="E276" t="s">
        <v>16</v>
      </c>
      <c r="F276" t="s">
        <v>25</v>
      </c>
      <c r="G276" t="s">
        <v>18</v>
      </c>
      <c r="H276" t="s">
        <v>19</v>
      </c>
      <c r="I276" t="s">
        <v>20</v>
      </c>
      <c r="J276" t="s">
        <v>21</v>
      </c>
      <c r="K276" t="s">
        <v>22</v>
      </c>
      <c r="L276" t="s">
        <v>23</v>
      </c>
      <c r="M276" t="s">
        <v>24</v>
      </c>
    </row>
    <row r="277" spans="1:13" x14ac:dyDescent="0.3">
      <c r="A277">
        <v>50</v>
      </c>
      <c r="B277" t="s">
        <v>13</v>
      </c>
      <c r="C277" t="s">
        <v>14</v>
      </c>
      <c r="D277" t="s">
        <v>14</v>
      </c>
      <c r="E277" t="s">
        <v>16</v>
      </c>
      <c r="F277" t="s">
        <v>17</v>
      </c>
      <c r="G277" t="s">
        <v>33</v>
      </c>
      <c r="H277" t="s">
        <v>34</v>
      </c>
      <c r="I277" t="s">
        <v>28</v>
      </c>
      <c r="J277" t="s">
        <v>21</v>
      </c>
      <c r="K277" t="s">
        <v>22</v>
      </c>
      <c r="L277" t="s">
        <v>35</v>
      </c>
      <c r="M277" t="s">
        <v>14</v>
      </c>
    </row>
    <row r="278" spans="1:13" x14ac:dyDescent="0.3">
      <c r="A278">
        <v>50</v>
      </c>
      <c r="B278" t="s">
        <v>13</v>
      </c>
      <c r="C278" t="s">
        <v>14</v>
      </c>
      <c r="D278" t="s">
        <v>14</v>
      </c>
      <c r="E278" t="s">
        <v>16</v>
      </c>
      <c r="F278" t="s">
        <v>25</v>
      </c>
      <c r="G278" t="s">
        <v>33</v>
      </c>
      <c r="H278" t="s">
        <v>27</v>
      </c>
      <c r="I278" t="s">
        <v>28</v>
      </c>
      <c r="J278" t="s">
        <v>21</v>
      </c>
      <c r="K278" t="s">
        <v>22</v>
      </c>
      <c r="L278" t="s">
        <v>35</v>
      </c>
      <c r="M278" t="s">
        <v>14</v>
      </c>
    </row>
    <row r="279" spans="1:13" x14ac:dyDescent="0.3">
      <c r="A279">
        <v>50</v>
      </c>
      <c r="B279" t="s">
        <v>13</v>
      </c>
      <c r="C279" t="s">
        <v>14</v>
      </c>
      <c r="D279" t="s">
        <v>14</v>
      </c>
      <c r="E279" t="s">
        <v>16</v>
      </c>
      <c r="F279" t="s">
        <v>25</v>
      </c>
      <c r="G279" t="s">
        <v>33</v>
      </c>
      <c r="H279" t="s">
        <v>27</v>
      </c>
      <c r="I279" t="s">
        <v>28</v>
      </c>
      <c r="J279" t="s">
        <v>21</v>
      </c>
      <c r="K279" t="s">
        <v>22</v>
      </c>
      <c r="L279" t="s">
        <v>31</v>
      </c>
      <c r="M279" t="s">
        <v>14</v>
      </c>
    </row>
    <row r="280" spans="1:13" x14ac:dyDescent="0.3">
      <c r="A280">
        <v>50</v>
      </c>
      <c r="B280" t="s">
        <v>13</v>
      </c>
      <c r="C280" t="s">
        <v>14</v>
      </c>
      <c r="D280" t="s">
        <v>14</v>
      </c>
      <c r="E280" t="s">
        <v>16</v>
      </c>
      <c r="F280" t="s">
        <v>25</v>
      </c>
      <c r="G280" t="s">
        <v>33</v>
      </c>
      <c r="H280" t="s">
        <v>27</v>
      </c>
      <c r="I280" t="s">
        <v>28</v>
      </c>
      <c r="J280" t="s">
        <v>21</v>
      </c>
      <c r="K280" t="s">
        <v>22</v>
      </c>
      <c r="L280" t="s">
        <v>35</v>
      </c>
      <c r="M280" t="s">
        <v>14</v>
      </c>
    </row>
    <row r="281" spans="1:13" x14ac:dyDescent="0.3">
      <c r="A281">
        <v>50</v>
      </c>
      <c r="B281" t="s">
        <v>13</v>
      </c>
      <c r="C281" t="s">
        <v>14</v>
      </c>
      <c r="D281" t="s">
        <v>14</v>
      </c>
      <c r="E281" t="s">
        <v>37</v>
      </c>
      <c r="F281" t="s">
        <v>25</v>
      </c>
      <c r="G281" t="s">
        <v>33</v>
      </c>
      <c r="H281" t="s">
        <v>38</v>
      </c>
      <c r="I281" t="s">
        <v>28</v>
      </c>
      <c r="J281" t="s">
        <v>21</v>
      </c>
      <c r="K281" t="s">
        <v>22</v>
      </c>
      <c r="L281" t="s">
        <v>35</v>
      </c>
      <c r="M281" t="s">
        <v>14</v>
      </c>
    </row>
    <row r="282" spans="1:13" x14ac:dyDescent="0.3">
      <c r="A282">
        <v>50</v>
      </c>
      <c r="B282" t="s">
        <v>13</v>
      </c>
      <c r="C282" t="s">
        <v>14</v>
      </c>
      <c r="D282" t="s">
        <v>30</v>
      </c>
      <c r="E282" t="s">
        <v>16</v>
      </c>
      <c r="F282" t="s">
        <v>25</v>
      </c>
      <c r="G282" t="s">
        <v>18</v>
      </c>
      <c r="H282" t="s">
        <v>27</v>
      </c>
      <c r="I282" t="s">
        <v>20</v>
      </c>
      <c r="J282" t="s">
        <v>21</v>
      </c>
      <c r="K282" t="s">
        <v>22</v>
      </c>
      <c r="L282" t="s">
        <v>31</v>
      </c>
      <c r="M282" t="s">
        <v>14</v>
      </c>
    </row>
    <row r="283" spans="1:13" x14ac:dyDescent="0.3">
      <c r="A283">
        <v>51</v>
      </c>
      <c r="B283" t="s">
        <v>13</v>
      </c>
      <c r="C283" t="s">
        <v>14</v>
      </c>
      <c r="D283" t="s">
        <v>14</v>
      </c>
      <c r="E283" t="s">
        <v>42</v>
      </c>
      <c r="F283" t="s">
        <v>25</v>
      </c>
      <c r="G283" t="s">
        <v>18</v>
      </c>
      <c r="H283" t="s">
        <v>19</v>
      </c>
      <c r="I283" t="s">
        <v>28</v>
      </c>
      <c r="J283" t="s">
        <v>21</v>
      </c>
      <c r="K283" t="s">
        <v>22</v>
      </c>
      <c r="L283" t="s">
        <v>23</v>
      </c>
      <c r="M283" t="s">
        <v>24</v>
      </c>
    </row>
    <row r="284" spans="1:13" x14ac:dyDescent="0.3">
      <c r="A284">
        <v>51</v>
      </c>
      <c r="B284" t="s">
        <v>13</v>
      </c>
      <c r="C284" t="s">
        <v>14</v>
      </c>
      <c r="D284" t="s">
        <v>14</v>
      </c>
      <c r="E284" t="s">
        <v>16</v>
      </c>
      <c r="F284" t="s">
        <v>25</v>
      </c>
      <c r="G284" t="s">
        <v>33</v>
      </c>
      <c r="H284" t="s">
        <v>34</v>
      </c>
      <c r="I284" t="s">
        <v>28</v>
      </c>
      <c r="J284" t="s">
        <v>21</v>
      </c>
      <c r="K284" t="s">
        <v>22</v>
      </c>
      <c r="L284" t="s">
        <v>35</v>
      </c>
      <c r="M284" t="s">
        <v>14</v>
      </c>
    </row>
    <row r="285" spans="1:13" x14ac:dyDescent="0.3">
      <c r="A285">
        <v>51</v>
      </c>
      <c r="B285" t="s">
        <v>13</v>
      </c>
      <c r="C285" t="s">
        <v>14</v>
      </c>
      <c r="D285" t="s">
        <v>14</v>
      </c>
      <c r="E285" t="s">
        <v>16</v>
      </c>
      <c r="F285" t="s">
        <v>25</v>
      </c>
      <c r="G285" t="s">
        <v>33</v>
      </c>
      <c r="H285" t="s">
        <v>34</v>
      </c>
      <c r="I285" t="s">
        <v>28</v>
      </c>
      <c r="J285" t="s">
        <v>21</v>
      </c>
      <c r="K285" t="s">
        <v>22</v>
      </c>
      <c r="L285" t="s">
        <v>35</v>
      </c>
      <c r="M285" t="s">
        <v>14</v>
      </c>
    </row>
    <row r="286" spans="1:13" x14ac:dyDescent="0.3">
      <c r="A286">
        <v>51</v>
      </c>
      <c r="B286" t="s">
        <v>13</v>
      </c>
      <c r="C286" t="s">
        <v>14</v>
      </c>
      <c r="D286" t="s">
        <v>14</v>
      </c>
      <c r="E286" t="s">
        <v>16</v>
      </c>
      <c r="F286" t="s">
        <v>25</v>
      </c>
      <c r="G286" t="s">
        <v>33</v>
      </c>
      <c r="H286" t="s">
        <v>27</v>
      </c>
      <c r="I286" t="s">
        <v>28</v>
      </c>
      <c r="J286" t="s">
        <v>21</v>
      </c>
      <c r="K286" t="s">
        <v>22</v>
      </c>
      <c r="L286" t="s">
        <v>35</v>
      </c>
      <c r="M286" t="s">
        <v>14</v>
      </c>
    </row>
    <row r="287" spans="1:13" x14ac:dyDescent="0.3">
      <c r="A287">
        <v>51</v>
      </c>
      <c r="B287" t="s">
        <v>13</v>
      </c>
      <c r="C287" t="s">
        <v>14</v>
      </c>
      <c r="D287" t="s">
        <v>14</v>
      </c>
      <c r="E287" t="s">
        <v>16</v>
      </c>
      <c r="F287" t="s">
        <v>25</v>
      </c>
      <c r="G287" t="s">
        <v>33</v>
      </c>
      <c r="H287" t="s">
        <v>27</v>
      </c>
      <c r="I287" t="s">
        <v>28</v>
      </c>
      <c r="J287" t="s">
        <v>21</v>
      </c>
      <c r="K287" t="s">
        <v>22</v>
      </c>
      <c r="L287" t="s">
        <v>35</v>
      </c>
      <c r="M287" t="s">
        <v>14</v>
      </c>
    </row>
    <row r="288" spans="1:13" x14ac:dyDescent="0.3">
      <c r="A288">
        <v>51</v>
      </c>
      <c r="B288" t="s">
        <v>13</v>
      </c>
      <c r="C288" t="s">
        <v>14</v>
      </c>
      <c r="D288" t="s">
        <v>14</v>
      </c>
      <c r="E288" t="s">
        <v>37</v>
      </c>
      <c r="F288" t="s">
        <v>25</v>
      </c>
      <c r="G288" t="s">
        <v>33</v>
      </c>
      <c r="H288" t="s">
        <v>38</v>
      </c>
      <c r="I288" t="s">
        <v>28</v>
      </c>
      <c r="J288" t="s">
        <v>21</v>
      </c>
      <c r="K288" t="s">
        <v>22</v>
      </c>
      <c r="L288" t="s">
        <v>35</v>
      </c>
      <c r="M288" t="s">
        <v>14</v>
      </c>
    </row>
    <row r="289" spans="1:13" x14ac:dyDescent="0.3">
      <c r="A289">
        <v>51</v>
      </c>
      <c r="B289" t="s">
        <v>13</v>
      </c>
      <c r="C289" t="s">
        <v>14</v>
      </c>
      <c r="D289" t="s">
        <v>14</v>
      </c>
      <c r="E289" t="s">
        <v>37</v>
      </c>
      <c r="F289" t="s">
        <v>25</v>
      </c>
      <c r="G289" t="s">
        <v>33</v>
      </c>
      <c r="H289" t="s">
        <v>38</v>
      </c>
      <c r="I289" t="s">
        <v>28</v>
      </c>
      <c r="J289" t="s">
        <v>21</v>
      </c>
      <c r="K289" t="s">
        <v>22</v>
      </c>
      <c r="L289" t="s">
        <v>35</v>
      </c>
      <c r="M289" t="s">
        <v>14</v>
      </c>
    </row>
    <row r="290" spans="1:13" x14ac:dyDescent="0.3">
      <c r="A290">
        <v>51</v>
      </c>
      <c r="B290" t="s">
        <v>13</v>
      </c>
      <c r="C290" t="s">
        <v>14</v>
      </c>
      <c r="D290" t="s">
        <v>30</v>
      </c>
      <c r="E290" t="s">
        <v>43</v>
      </c>
      <c r="F290" t="s">
        <v>25</v>
      </c>
      <c r="G290" t="s">
        <v>33</v>
      </c>
      <c r="H290" t="s">
        <v>19</v>
      </c>
      <c r="I290" t="s">
        <v>28</v>
      </c>
      <c r="J290" t="s">
        <v>21</v>
      </c>
      <c r="K290" t="s">
        <v>22</v>
      </c>
      <c r="L290" t="s">
        <v>31</v>
      </c>
      <c r="M290" t="s">
        <v>14</v>
      </c>
    </row>
    <row r="291" spans="1:13" x14ac:dyDescent="0.3">
      <c r="A291">
        <v>51</v>
      </c>
      <c r="B291" t="s">
        <v>13</v>
      </c>
      <c r="C291" t="s">
        <v>14</v>
      </c>
      <c r="D291" t="s">
        <v>14</v>
      </c>
      <c r="E291" t="s">
        <v>16</v>
      </c>
      <c r="F291" t="s">
        <v>17</v>
      </c>
      <c r="G291" t="s">
        <v>26</v>
      </c>
      <c r="H291" t="s">
        <v>44</v>
      </c>
      <c r="I291" t="s">
        <v>36</v>
      </c>
      <c r="J291" t="s">
        <v>46</v>
      </c>
      <c r="K291" t="s">
        <v>47</v>
      </c>
      <c r="L291" t="s">
        <v>23</v>
      </c>
      <c r="M291" t="s">
        <v>24</v>
      </c>
    </row>
    <row r="292" spans="1:13" x14ac:dyDescent="0.3">
      <c r="A292">
        <v>51</v>
      </c>
      <c r="B292" t="s">
        <v>9</v>
      </c>
      <c r="C292" t="s">
        <v>14</v>
      </c>
      <c r="D292" t="s">
        <v>30</v>
      </c>
      <c r="E292" t="s">
        <v>16</v>
      </c>
      <c r="F292" t="s">
        <v>25</v>
      </c>
      <c r="G292" t="s">
        <v>18</v>
      </c>
      <c r="H292" t="s">
        <v>27</v>
      </c>
      <c r="I292" t="s">
        <v>20</v>
      </c>
      <c r="J292" t="s">
        <v>21</v>
      </c>
      <c r="K292" t="s">
        <v>22</v>
      </c>
      <c r="L292" t="s">
        <v>31</v>
      </c>
      <c r="M292" t="s">
        <v>14</v>
      </c>
    </row>
    <row r="293" spans="1:13" x14ac:dyDescent="0.3">
      <c r="A293">
        <v>52</v>
      </c>
      <c r="B293" t="s">
        <v>9</v>
      </c>
      <c r="C293" t="s">
        <v>14</v>
      </c>
      <c r="D293" t="s">
        <v>30</v>
      </c>
      <c r="E293" t="s">
        <v>42</v>
      </c>
      <c r="F293" t="s">
        <v>17</v>
      </c>
      <c r="G293" t="s">
        <v>18</v>
      </c>
      <c r="H293" t="s">
        <v>19</v>
      </c>
      <c r="I293" t="s">
        <v>28</v>
      </c>
      <c r="J293" t="s">
        <v>21</v>
      </c>
      <c r="K293" t="s">
        <v>22</v>
      </c>
      <c r="L293" t="s">
        <v>41</v>
      </c>
      <c r="M293" t="s">
        <v>24</v>
      </c>
    </row>
    <row r="294" spans="1:13" x14ac:dyDescent="0.3">
      <c r="A294">
        <v>52</v>
      </c>
      <c r="B294" t="s">
        <v>13</v>
      </c>
      <c r="C294" t="s">
        <v>14</v>
      </c>
      <c r="D294" t="s">
        <v>15</v>
      </c>
      <c r="E294" t="s">
        <v>43</v>
      </c>
      <c r="F294" t="s">
        <v>17</v>
      </c>
      <c r="G294" t="s">
        <v>33</v>
      </c>
      <c r="H294" t="s">
        <v>19</v>
      </c>
      <c r="I294" t="s">
        <v>28</v>
      </c>
      <c r="J294" t="s">
        <v>21</v>
      </c>
      <c r="K294" t="s">
        <v>22</v>
      </c>
      <c r="L294" t="s">
        <v>23</v>
      </c>
      <c r="M294" t="s">
        <v>14</v>
      </c>
    </row>
    <row r="295" spans="1:13" x14ac:dyDescent="0.3">
      <c r="A295">
        <v>52</v>
      </c>
      <c r="B295" t="s">
        <v>13</v>
      </c>
      <c r="C295" t="s">
        <v>14</v>
      </c>
      <c r="D295" t="s">
        <v>14</v>
      </c>
      <c r="E295" t="s">
        <v>16</v>
      </c>
      <c r="F295" t="s">
        <v>17</v>
      </c>
      <c r="G295" t="s">
        <v>33</v>
      </c>
      <c r="H295" t="s">
        <v>19</v>
      </c>
      <c r="I295" t="s">
        <v>28</v>
      </c>
      <c r="J295" t="s">
        <v>21</v>
      </c>
      <c r="K295" t="s">
        <v>22</v>
      </c>
      <c r="L295" t="s">
        <v>31</v>
      </c>
      <c r="M295" t="s">
        <v>14</v>
      </c>
    </row>
    <row r="296" spans="1:13" x14ac:dyDescent="0.3">
      <c r="A296">
        <v>52</v>
      </c>
      <c r="B296" t="s">
        <v>13</v>
      </c>
      <c r="C296" t="s">
        <v>14</v>
      </c>
      <c r="D296" t="s">
        <v>14</v>
      </c>
      <c r="E296" t="s">
        <v>37</v>
      </c>
      <c r="F296" t="s">
        <v>17</v>
      </c>
      <c r="G296" t="s">
        <v>33</v>
      </c>
      <c r="H296" t="s">
        <v>38</v>
      </c>
      <c r="I296" t="s">
        <v>28</v>
      </c>
      <c r="J296" t="s">
        <v>21</v>
      </c>
      <c r="K296" t="s">
        <v>22</v>
      </c>
      <c r="L296" t="s">
        <v>31</v>
      </c>
      <c r="M296" t="s">
        <v>14</v>
      </c>
    </row>
    <row r="297" spans="1:13" x14ac:dyDescent="0.3">
      <c r="A297">
        <v>52</v>
      </c>
      <c r="B297" t="s">
        <v>9</v>
      </c>
      <c r="C297" t="s">
        <v>14</v>
      </c>
      <c r="D297" t="s">
        <v>14</v>
      </c>
      <c r="E297" t="s">
        <v>37</v>
      </c>
      <c r="F297" t="s">
        <v>17</v>
      </c>
      <c r="G297" t="s">
        <v>33</v>
      </c>
      <c r="H297" t="s">
        <v>38</v>
      </c>
      <c r="I297" t="s">
        <v>28</v>
      </c>
      <c r="J297" t="s">
        <v>21</v>
      </c>
      <c r="K297" t="s">
        <v>22</v>
      </c>
      <c r="L297" t="s">
        <v>31</v>
      </c>
      <c r="M297" t="s">
        <v>14</v>
      </c>
    </row>
    <row r="298" spans="1:13" x14ac:dyDescent="0.3">
      <c r="A298">
        <v>52</v>
      </c>
      <c r="B298" t="s">
        <v>13</v>
      </c>
      <c r="C298" t="s">
        <v>14</v>
      </c>
      <c r="D298" t="s">
        <v>14</v>
      </c>
      <c r="E298" t="s">
        <v>16</v>
      </c>
      <c r="F298" t="s">
        <v>25</v>
      </c>
      <c r="G298" t="s">
        <v>33</v>
      </c>
      <c r="H298" t="s">
        <v>27</v>
      </c>
      <c r="I298" t="s">
        <v>28</v>
      </c>
      <c r="J298" t="s">
        <v>21</v>
      </c>
      <c r="K298" t="s">
        <v>22</v>
      </c>
      <c r="L298" t="s">
        <v>35</v>
      </c>
      <c r="M298" t="s">
        <v>14</v>
      </c>
    </row>
    <row r="299" spans="1:13" x14ac:dyDescent="0.3">
      <c r="A299">
        <v>52</v>
      </c>
      <c r="B299" t="s">
        <v>13</v>
      </c>
      <c r="C299" t="s">
        <v>14</v>
      </c>
      <c r="D299" t="s">
        <v>14</v>
      </c>
      <c r="E299" t="s">
        <v>42</v>
      </c>
      <c r="F299" t="s">
        <v>25</v>
      </c>
      <c r="G299" t="s">
        <v>33</v>
      </c>
      <c r="H299" t="s">
        <v>19</v>
      </c>
      <c r="I299" t="s">
        <v>28</v>
      </c>
      <c r="J299" t="s">
        <v>21</v>
      </c>
      <c r="K299" t="s">
        <v>22</v>
      </c>
      <c r="L299" t="s">
        <v>41</v>
      </c>
      <c r="M299" t="s">
        <v>14</v>
      </c>
    </row>
    <row r="300" spans="1:13" x14ac:dyDescent="0.3">
      <c r="A300">
        <v>52</v>
      </c>
      <c r="B300" t="s">
        <v>9</v>
      </c>
      <c r="C300" t="s">
        <v>14</v>
      </c>
      <c r="D300" t="s">
        <v>14</v>
      </c>
      <c r="E300" t="s">
        <v>37</v>
      </c>
      <c r="F300" t="s">
        <v>25</v>
      </c>
      <c r="G300" t="s">
        <v>33</v>
      </c>
      <c r="H300" t="s">
        <v>38</v>
      </c>
      <c r="I300" t="s">
        <v>28</v>
      </c>
      <c r="J300" t="s">
        <v>21</v>
      </c>
      <c r="K300" t="s">
        <v>22</v>
      </c>
      <c r="L300" t="s">
        <v>35</v>
      </c>
      <c r="M300" t="s">
        <v>14</v>
      </c>
    </row>
    <row r="301" spans="1:13" x14ac:dyDescent="0.3">
      <c r="A301">
        <v>53</v>
      </c>
      <c r="B301" t="s">
        <v>13</v>
      </c>
      <c r="C301" t="s">
        <v>14</v>
      </c>
      <c r="D301" t="s">
        <v>14</v>
      </c>
      <c r="E301" t="s">
        <v>16</v>
      </c>
      <c r="F301" t="s">
        <v>25</v>
      </c>
      <c r="G301" t="s">
        <v>18</v>
      </c>
      <c r="H301" t="s">
        <v>19</v>
      </c>
      <c r="I301" t="s">
        <v>28</v>
      </c>
      <c r="J301" t="s">
        <v>21</v>
      </c>
      <c r="K301" t="s">
        <v>22</v>
      </c>
      <c r="L301" t="s">
        <v>31</v>
      </c>
      <c r="M301" t="s">
        <v>14</v>
      </c>
    </row>
    <row r="302" spans="1:13" x14ac:dyDescent="0.3">
      <c r="A302">
        <v>53</v>
      </c>
      <c r="B302" t="s">
        <v>9</v>
      </c>
      <c r="C302" t="s">
        <v>14</v>
      </c>
      <c r="D302" t="s">
        <v>15</v>
      </c>
      <c r="E302" t="s">
        <v>16</v>
      </c>
      <c r="F302" t="s">
        <v>17</v>
      </c>
      <c r="G302" t="s">
        <v>18</v>
      </c>
      <c r="H302" t="s">
        <v>19</v>
      </c>
      <c r="I302" t="s">
        <v>20</v>
      </c>
      <c r="J302" t="s">
        <v>21</v>
      </c>
      <c r="K302" t="s">
        <v>22</v>
      </c>
      <c r="L302" t="s">
        <v>23</v>
      </c>
      <c r="M302" t="s">
        <v>24</v>
      </c>
    </row>
    <row r="303" spans="1:13" x14ac:dyDescent="0.3">
      <c r="A303">
        <v>53</v>
      </c>
      <c r="B303" t="s">
        <v>13</v>
      </c>
      <c r="C303" t="s">
        <v>14</v>
      </c>
      <c r="D303" t="s">
        <v>30</v>
      </c>
      <c r="E303" t="s">
        <v>16</v>
      </c>
      <c r="F303" t="s">
        <v>25</v>
      </c>
      <c r="G303" t="s">
        <v>26</v>
      </c>
      <c r="H303" t="s">
        <v>44</v>
      </c>
      <c r="I303" t="s">
        <v>20</v>
      </c>
      <c r="J303" t="s">
        <v>21</v>
      </c>
      <c r="K303" t="s">
        <v>22</v>
      </c>
      <c r="L303" t="s">
        <v>23</v>
      </c>
      <c r="M303" t="s">
        <v>24</v>
      </c>
    </row>
    <row r="304" spans="1:13" x14ac:dyDescent="0.3">
      <c r="A304">
        <v>54</v>
      </c>
      <c r="B304" t="s">
        <v>13</v>
      </c>
      <c r="C304" t="s">
        <v>14</v>
      </c>
      <c r="D304" t="s">
        <v>14</v>
      </c>
      <c r="E304" t="s">
        <v>16</v>
      </c>
      <c r="F304" t="s">
        <v>25</v>
      </c>
      <c r="G304" t="s">
        <v>33</v>
      </c>
      <c r="H304" t="s">
        <v>34</v>
      </c>
      <c r="I304" t="s">
        <v>28</v>
      </c>
      <c r="J304" t="s">
        <v>21</v>
      </c>
      <c r="K304" t="s">
        <v>22</v>
      </c>
      <c r="L304" t="s">
        <v>35</v>
      </c>
      <c r="M304" t="s">
        <v>14</v>
      </c>
    </row>
    <row r="305" spans="1:13" x14ac:dyDescent="0.3">
      <c r="A305">
        <v>54</v>
      </c>
      <c r="B305" t="s">
        <v>13</v>
      </c>
      <c r="C305" t="s">
        <v>14</v>
      </c>
      <c r="D305" t="s">
        <v>14</v>
      </c>
      <c r="E305" t="s">
        <v>16</v>
      </c>
      <c r="F305" t="s">
        <v>25</v>
      </c>
      <c r="G305" t="s">
        <v>33</v>
      </c>
      <c r="H305" t="s">
        <v>34</v>
      </c>
      <c r="I305" t="s">
        <v>28</v>
      </c>
      <c r="J305" t="s">
        <v>21</v>
      </c>
      <c r="K305" t="s">
        <v>22</v>
      </c>
      <c r="L305" t="s">
        <v>31</v>
      </c>
      <c r="M305" t="s">
        <v>14</v>
      </c>
    </row>
    <row r="306" spans="1:13" x14ac:dyDescent="0.3">
      <c r="A306">
        <v>54</v>
      </c>
      <c r="B306" t="s">
        <v>9</v>
      </c>
      <c r="C306" t="s">
        <v>14</v>
      </c>
      <c r="D306" t="s">
        <v>30</v>
      </c>
      <c r="E306" t="s">
        <v>43</v>
      </c>
      <c r="F306" t="s">
        <v>17</v>
      </c>
      <c r="G306" t="s">
        <v>18</v>
      </c>
      <c r="H306" t="s">
        <v>44</v>
      </c>
      <c r="I306" t="s">
        <v>20</v>
      </c>
      <c r="J306" t="s">
        <v>21</v>
      </c>
      <c r="K306" t="s">
        <v>47</v>
      </c>
      <c r="L306" t="s">
        <v>23</v>
      </c>
      <c r="M306" t="s">
        <v>24</v>
      </c>
    </row>
    <row r="307" spans="1:13" x14ac:dyDescent="0.3">
      <c r="A307">
        <v>55</v>
      </c>
      <c r="B307" t="s">
        <v>13</v>
      </c>
      <c r="C307" t="s">
        <v>14</v>
      </c>
      <c r="D307" t="s">
        <v>14</v>
      </c>
      <c r="E307" t="s">
        <v>16</v>
      </c>
      <c r="F307" t="s">
        <v>25</v>
      </c>
      <c r="G307" t="s">
        <v>33</v>
      </c>
      <c r="H307" t="s">
        <v>27</v>
      </c>
      <c r="I307" t="s">
        <v>28</v>
      </c>
      <c r="J307" t="s">
        <v>21</v>
      </c>
      <c r="K307" t="s">
        <v>22</v>
      </c>
      <c r="L307" t="s">
        <v>35</v>
      </c>
      <c r="M307" t="s">
        <v>14</v>
      </c>
    </row>
    <row r="308" spans="1:13" x14ac:dyDescent="0.3">
      <c r="A308">
        <v>55</v>
      </c>
      <c r="B308" t="s">
        <v>13</v>
      </c>
      <c r="C308" t="s">
        <v>14</v>
      </c>
      <c r="D308" t="s">
        <v>14</v>
      </c>
      <c r="E308" t="s">
        <v>37</v>
      </c>
      <c r="F308" t="s">
        <v>25</v>
      </c>
      <c r="G308" t="s">
        <v>33</v>
      </c>
      <c r="H308" t="s">
        <v>38</v>
      </c>
      <c r="I308" t="s">
        <v>28</v>
      </c>
      <c r="J308" t="s">
        <v>21</v>
      </c>
      <c r="K308" t="s">
        <v>22</v>
      </c>
      <c r="L308" t="s">
        <v>35</v>
      </c>
      <c r="M308" t="s">
        <v>14</v>
      </c>
    </row>
    <row r="309" spans="1:13" x14ac:dyDescent="0.3">
      <c r="A309">
        <v>55</v>
      </c>
      <c r="B309" t="s">
        <v>9</v>
      </c>
      <c r="C309" t="s">
        <v>14</v>
      </c>
      <c r="D309" t="s">
        <v>14</v>
      </c>
      <c r="E309" t="s">
        <v>16</v>
      </c>
      <c r="F309" t="s">
        <v>17</v>
      </c>
      <c r="G309" t="s">
        <v>18</v>
      </c>
      <c r="H309" t="s">
        <v>19</v>
      </c>
      <c r="I309" t="s">
        <v>28</v>
      </c>
      <c r="J309" t="s">
        <v>21</v>
      </c>
      <c r="K309" t="s">
        <v>47</v>
      </c>
      <c r="L309" t="s">
        <v>31</v>
      </c>
      <c r="M309" t="s">
        <v>14</v>
      </c>
    </row>
    <row r="310" spans="1:13" x14ac:dyDescent="0.3">
      <c r="A310">
        <v>55</v>
      </c>
      <c r="B310" t="s">
        <v>13</v>
      </c>
      <c r="C310" t="s">
        <v>14</v>
      </c>
      <c r="D310" t="s">
        <v>15</v>
      </c>
      <c r="E310" t="s">
        <v>16</v>
      </c>
      <c r="F310" t="s">
        <v>17</v>
      </c>
      <c r="G310" t="s">
        <v>18</v>
      </c>
      <c r="H310" t="s">
        <v>27</v>
      </c>
      <c r="I310" t="s">
        <v>20</v>
      </c>
      <c r="J310" t="s">
        <v>21</v>
      </c>
      <c r="K310" t="s">
        <v>47</v>
      </c>
      <c r="L310" t="s">
        <v>31</v>
      </c>
      <c r="M310" t="s">
        <v>14</v>
      </c>
    </row>
    <row r="311" spans="1:13" x14ac:dyDescent="0.3">
      <c r="A311">
        <v>56</v>
      </c>
      <c r="B311" t="s">
        <v>13</v>
      </c>
      <c r="C311" t="s">
        <v>14</v>
      </c>
      <c r="D311" t="s">
        <v>14</v>
      </c>
      <c r="E311" t="s">
        <v>42</v>
      </c>
      <c r="F311" t="s">
        <v>17</v>
      </c>
      <c r="G311" t="s">
        <v>33</v>
      </c>
      <c r="H311" t="s">
        <v>19</v>
      </c>
      <c r="I311" t="s">
        <v>28</v>
      </c>
      <c r="J311" t="s">
        <v>21</v>
      </c>
      <c r="K311" t="s">
        <v>22</v>
      </c>
      <c r="L311" t="s">
        <v>23</v>
      </c>
      <c r="M311" t="s">
        <v>24</v>
      </c>
    </row>
    <row r="312" spans="1:13" x14ac:dyDescent="0.3">
      <c r="A312">
        <v>56</v>
      </c>
      <c r="B312" t="s">
        <v>13</v>
      </c>
      <c r="C312" t="s">
        <v>14</v>
      </c>
      <c r="D312" t="s">
        <v>14</v>
      </c>
      <c r="E312" t="s">
        <v>16</v>
      </c>
      <c r="F312" t="s">
        <v>25</v>
      </c>
      <c r="G312" t="s">
        <v>33</v>
      </c>
      <c r="H312" t="s">
        <v>27</v>
      </c>
      <c r="I312" t="s">
        <v>28</v>
      </c>
      <c r="J312" t="s">
        <v>21</v>
      </c>
      <c r="K312" t="s">
        <v>22</v>
      </c>
      <c r="L312" t="s">
        <v>23</v>
      </c>
      <c r="M312" t="s">
        <v>24</v>
      </c>
    </row>
    <row r="313" spans="1:13" x14ac:dyDescent="0.3">
      <c r="A313">
        <v>56</v>
      </c>
      <c r="B313" t="s">
        <v>9</v>
      </c>
      <c r="C313" t="s">
        <v>14</v>
      </c>
      <c r="D313" t="s">
        <v>14</v>
      </c>
      <c r="E313" t="s">
        <v>16</v>
      </c>
      <c r="F313" t="s">
        <v>25</v>
      </c>
      <c r="G313" t="s">
        <v>33</v>
      </c>
      <c r="H313" t="s">
        <v>27</v>
      </c>
      <c r="I313" t="s">
        <v>28</v>
      </c>
      <c r="J313" t="s">
        <v>21</v>
      </c>
      <c r="K313" t="s">
        <v>22</v>
      </c>
      <c r="L313" t="s">
        <v>41</v>
      </c>
      <c r="M313" t="s">
        <v>24</v>
      </c>
    </row>
    <row r="314" spans="1:13" x14ac:dyDescent="0.3">
      <c r="A314">
        <v>56</v>
      </c>
      <c r="B314" t="s">
        <v>13</v>
      </c>
      <c r="C314" t="s">
        <v>14</v>
      </c>
      <c r="D314" t="s">
        <v>14</v>
      </c>
      <c r="E314" t="s">
        <v>16</v>
      </c>
      <c r="F314" t="s">
        <v>25</v>
      </c>
      <c r="G314" t="s">
        <v>33</v>
      </c>
      <c r="H314" t="s">
        <v>27</v>
      </c>
      <c r="I314" t="s">
        <v>28</v>
      </c>
      <c r="J314" t="s">
        <v>21</v>
      </c>
      <c r="K314" t="s">
        <v>22</v>
      </c>
      <c r="L314" t="s">
        <v>41</v>
      </c>
      <c r="M314" t="s">
        <v>14</v>
      </c>
    </row>
    <row r="315" spans="1:13" x14ac:dyDescent="0.3">
      <c r="A315">
        <v>56</v>
      </c>
      <c r="B315" t="s">
        <v>13</v>
      </c>
      <c r="C315" t="s">
        <v>14</v>
      </c>
      <c r="D315" t="s">
        <v>14</v>
      </c>
      <c r="E315" t="s">
        <v>16</v>
      </c>
      <c r="F315" t="s">
        <v>25</v>
      </c>
      <c r="G315" t="s">
        <v>33</v>
      </c>
      <c r="H315" t="s">
        <v>27</v>
      </c>
      <c r="I315" t="s">
        <v>28</v>
      </c>
      <c r="J315" t="s">
        <v>21</v>
      </c>
      <c r="K315" t="s">
        <v>22</v>
      </c>
      <c r="L315" t="s">
        <v>35</v>
      </c>
      <c r="M315" t="s">
        <v>14</v>
      </c>
    </row>
    <row r="316" spans="1:13" x14ac:dyDescent="0.3">
      <c r="A316">
        <v>56</v>
      </c>
      <c r="B316" t="s">
        <v>9</v>
      </c>
      <c r="C316" t="s">
        <v>14</v>
      </c>
      <c r="D316" t="s">
        <v>14</v>
      </c>
      <c r="E316" t="s">
        <v>43</v>
      </c>
      <c r="F316" t="s">
        <v>17</v>
      </c>
      <c r="G316" t="s">
        <v>18</v>
      </c>
      <c r="H316" t="s">
        <v>19</v>
      </c>
      <c r="I316" t="s">
        <v>28</v>
      </c>
      <c r="J316" t="s">
        <v>21</v>
      </c>
      <c r="K316" t="s">
        <v>22</v>
      </c>
      <c r="L316" t="s">
        <v>31</v>
      </c>
      <c r="M316" t="s">
        <v>14</v>
      </c>
    </row>
    <row r="317" spans="1:13" x14ac:dyDescent="0.3">
      <c r="A317">
        <v>56</v>
      </c>
      <c r="B317" t="s">
        <v>13</v>
      </c>
      <c r="C317" t="s">
        <v>14</v>
      </c>
      <c r="D317" t="s">
        <v>14</v>
      </c>
      <c r="E317" t="s">
        <v>16</v>
      </c>
      <c r="F317" t="s">
        <v>17</v>
      </c>
      <c r="G317" t="s">
        <v>18</v>
      </c>
      <c r="H317" t="s">
        <v>19</v>
      </c>
      <c r="I317" t="s">
        <v>36</v>
      </c>
      <c r="J317" t="s">
        <v>21</v>
      </c>
      <c r="K317" t="s">
        <v>47</v>
      </c>
      <c r="L317" t="s">
        <v>35</v>
      </c>
      <c r="M317" t="s">
        <v>14</v>
      </c>
    </row>
    <row r="318" spans="1:13" x14ac:dyDescent="0.3">
      <c r="A318">
        <v>56</v>
      </c>
      <c r="B318" t="s">
        <v>13</v>
      </c>
      <c r="C318" t="s">
        <v>14</v>
      </c>
      <c r="D318" t="s">
        <v>48</v>
      </c>
      <c r="E318" t="s">
        <v>16</v>
      </c>
      <c r="F318" t="s">
        <v>17</v>
      </c>
      <c r="G318" t="s">
        <v>26</v>
      </c>
      <c r="H318" t="s">
        <v>44</v>
      </c>
      <c r="I318" t="s">
        <v>20</v>
      </c>
      <c r="J318" t="s">
        <v>21</v>
      </c>
      <c r="K318" t="s">
        <v>47</v>
      </c>
      <c r="L318" t="s">
        <v>23</v>
      </c>
      <c r="M318" t="s">
        <v>24</v>
      </c>
    </row>
    <row r="319" spans="1:13" x14ac:dyDescent="0.3">
      <c r="A319">
        <v>57</v>
      </c>
      <c r="B319" t="s">
        <v>13</v>
      </c>
      <c r="C319" t="s">
        <v>14</v>
      </c>
      <c r="D319" t="s">
        <v>14</v>
      </c>
      <c r="E319" t="s">
        <v>42</v>
      </c>
      <c r="F319" t="s">
        <v>25</v>
      </c>
      <c r="G319" t="s">
        <v>33</v>
      </c>
      <c r="H319" t="s">
        <v>27</v>
      </c>
      <c r="I319" t="s">
        <v>28</v>
      </c>
      <c r="J319" t="s">
        <v>21</v>
      </c>
      <c r="K319" t="s">
        <v>22</v>
      </c>
      <c r="L319" t="s">
        <v>35</v>
      </c>
      <c r="M319" t="s">
        <v>14</v>
      </c>
    </row>
    <row r="320" spans="1:13" x14ac:dyDescent="0.3">
      <c r="A320">
        <v>57</v>
      </c>
      <c r="B320" t="s">
        <v>9</v>
      </c>
      <c r="C320" t="s">
        <v>14</v>
      </c>
      <c r="D320" t="s">
        <v>14</v>
      </c>
      <c r="E320" t="s">
        <v>16</v>
      </c>
      <c r="F320" t="s">
        <v>25</v>
      </c>
      <c r="G320" t="s">
        <v>33</v>
      </c>
      <c r="H320" t="s">
        <v>27</v>
      </c>
      <c r="I320" t="s">
        <v>28</v>
      </c>
      <c r="J320" t="s">
        <v>21</v>
      </c>
      <c r="K320" t="s">
        <v>22</v>
      </c>
      <c r="L320" t="s">
        <v>35</v>
      </c>
      <c r="M320" t="s">
        <v>14</v>
      </c>
    </row>
    <row r="321" spans="1:13" x14ac:dyDescent="0.3">
      <c r="A321">
        <v>58</v>
      </c>
      <c r="B321" t="s">
        <v>13</v>
      </c>
      <c r="C321" t="s">
        <v>14</v>
      </c>
      <c r="D321" t="s">
        <v>14</v>
      </c>
      <c r="E321" t="s">
        <v>42</v>
      </c>
      <c r="F321" t="s">
        <v>17</v>
      </c>
      <c r="G321" t="s">
        <v>18</v>
      </c>
      <c r="H321" t="s">
        <v>19</v>
      </c>
      <c r="I321" t="s">
        <v>28</v>
      </c>
      <c r="J321" t="s">
        <v>21</v>
      </c>
      <c r="K321" t="s">
        <v>47</v>
      </c>
      <c r="L321" t="s">
        <v>31</v>
      </c>
      <c r="M321" t="s">
        <v>14</v>
      </c>
    </row>
    <row r="322" spans="1:13" x14ac:dyDescent="0.3">
      <c r="A322">
        <v>58</v>
      </c>
      <c r="B322" t="s">
        <v>13</v>
      </c>
      <c r="C322" t="s">
        <v>14</v>
      </c>
      <c r="D322" t="s">
        <v>14</v>
      </c>
      <c r="E322" t="s">
        <v>16</v>
      </c>
      <c r="F322" t="s">
        <v>17</v>
      </c>
      <c r="G322" t="s">
        <v>18</v>
      </c>
      <c r="H322" t="s">
        <v>19</v>
      </c>
      <c r="I322" t="s">
        <v>36</v>
      </c>
      <c r="J322" t="s">
        <v>21</v>
      </c>
      <c r="K322" t="s">
        <v>47</v>
      </c>
      <c r="L322" t="s">
        <v>31</v>
      </c>
      <c r="M322" t="s">
        <v>24</v>
      </c>
    </row>
    <row r="323" spans="1:13" x14ac:dyDescent="0.3">
      <c r="A323">
        <v>58</v>
      </c>
      <c r="B323" t="s">
        <v>13</v>
      </c>
      <c r="C323" t="s">
        <v>14</v>
      </c>
      <c r="D323" t="s">
        <v>45</v>
      </c>
      <c r="E323" t="s">
        <v>16</v>
      </c>
      <c r="F323" t="s">
        <v>17</v>
      </c>
      <c r="G323" t="s">
        <v>18</v>
      </c>
      <c r="H323" t="s">
        <v>39</v>
      </c>
      <c r="I323" t="s">
        <v>20</v>
      </c>
      <c r="J323" t="s">
        <v>21</v>
      </c>
      <c r="K323" t="s">
        <v>47</v>
      </c>
      <c r="L323" t="s">
        <v>23</v>
      </c>
      <c r="M323" t="s">
        <v>24</v>
      </c>
    </row>
    <row r="324" spans="1:13" x14ac:dyDescent="0.3">
      <c r="A324">
        <v>59</v>
      </c>
      <c r="B324" t="s">
        <v>9</v>
      </c>
      <c r="C324" t="s">
        <v>14</v>
      </c>
      <c r="D324" t="s">
        <v>14</v>
      </c>
      <c r="E324" t="s">
        <v>43</v>
      </c>
      <c r="F324" t="s">
        <v>17</v>
      </c>
      <c r="G324" t="s">
        <v>18</v>
      </c>
      <c r="H324" t="s">
        <v>39</v>
      </c>
      <c r="I324" t="s">
        <v>28</v>
      </c>
      <c r="J324" t="s">
        <v>21</v>
      </c>
      <c r="K324" t="s">
        <v>22</v>
      </c>
      <c r="L324" t="s">
        <v>23</v>
      </c>
      <c r="M324" t="s">
        <v>24</v>
      </c>
    </row>
    <row r="325" spans="1:13" x14ac:dyDescent="0.3">
      <c r="A325">
        <v>59</v>
      </c>
      <c r="B325" t="s">
        <v>13</v>
      </c>
      <c r="C325" t="s">
        <v>14</v>
      </c>
      <c r="D325" t="s">
        <v>14</v>
      </c>
      <c r="E325" t="s">
        <v>37</v>
      </c>
      <c r="F325" t="s">
        <v>25</v>
      </c>
      <c r="G325" t="s">
        <v>33</v>
      </c>
      <c r="H325" t="s">
        <v>38</v>
      </c>
      <c r="I325" t="s">
        <v>28</v>
      </c>
      <c r="J325" t="s">
        <v>21</v>
      </c>
      <c r="K325" t="s">
        <v>22</v>
      </c>
      <c r="L325" t="s">
        <v>35</v>
      </c>
      <c r="M325" t="s">
        <v>14</v>
      </c>
    </row>
    <row r="326" spans="1:13" x14ac:dyDescent="0.3">
      <c r="A326">
        <v>59</v>
      </c>
      <c r="B326" t="s">
        <v>13</v>
      </c>
      <c r="C326" t="s">
        <v>14</v>
      </c>
      <c r="D326" t="s">
        <v>15</v>
      </c>
      <c r="E326" t="s">
        <v>16</v>
      </c>
      <c r="F326" t="s">
        <v>17</v>
      </c>
      <c r="G326" t="s">
        <v>26</v>
      </c>
      <c r="H326" t="s">
        <v>49</v>
      </c>
      <c r="I326" t="s">
        <v>20</v>
      </c>
      <c r="J326" t="s">
        <v>21</v>
      </c>
      <c r="K326" t="s">
        <v>50</v>
      </c>
      <c r="L326" t="s">
        <v>23</v>
      </c>
      <c r="M326" t="s">
        <v>24</v>
      </c>
    </row>
    <row r="327" spans="1:13" x14ac:dyDescent="0.3">
      <c r="A327">
        <v>60</v>
      </c>
      <c r="B327" t="s">
        <v>13</v>
      </c>
      <c r="C327" t="s">
        <v>14</v>
      </c>
      <c r="D327" t="s">
        <v>14</v>
      </c>
      <c r="E327" t="s">
        <v>16</v>
      </c>
      <c r="F327" t="s">
        <v>17</v>
      </c>
      <c r="G327" t="s">
        <v>33</v>
      </c>
      <c r="H327" t="s">
        <v>27</v>
      </c>
      <c r="I327" t="s">
        <v>28</v>
      </c>
      <c r="J327" t="s">
        <v>21</v>
      </c>
      <c r="K327" t="s">
        <v>22</v>
      </c>
      <c r="L327" t="s">
        <v>35</v>
      </c>
      <c r="M327" t="s">
        <v>14</v>
      </c>
    </row>
    <row r="328" spans="1:13" x14ac:dyDescent="0.3">
      <c r="A328">
        <v>60</v>
      </c>
      <c r="B328" t="s">
        <v>13</v>
      </c>
      <c r="C328" t="s">
        <v>14</v>
      </c>
      <c r="D328" t="s">
        <v>14</v>
      </c>
      <c r="E328" t="s">
        <v>37</v>
      </c>
      <c r="F328" t="s">
        <v>17</v>
      </c>
      <c r="G328" t="s">
        <v>33</v>
      </c>
      <c r="H328" t="s">
        <v>38</v>
      </c>
      <c r="I328" t="s">
        <v>28</v>
      </c>
      <c r="J328" t="s">
        <v>21</v>
      </c>
      <c r="K328" t="s">
        <v>22</v>
      </c>
      <c r="L328" t="s">
        <v>35</v>
      </c>
      <c r="M328" t="s">
        <v>14</v>
      </c>
    </row>
    <row r="329" spans="1:13" x14ac:dyDescent="0.3">
      <c r="A329">
        <v>60</v>
      </c>
      <c r="B329" t="s">
        <v>13</v>
      </c>
      <c r="C329" t="s">
        <v>14</v>
      </c>
      <c r="D329" t="s">
        <v>14</v>
      </c>
      <c r="E329" t="s">
        <v>16</v>
      </c>
      <c r="F329" t="s">
        <v>25</v>
      </c>
      <c r="G329" t="s">
        <v>33</v>
      </c>
      <c r="H329" t="s">
        <v>27</v>
      </c>
      <c r="I329" t="s">
        <v>28</v>
      </c>
      <c r="J329" t="s">
        <v>21</v>
      </c>
      <c r="K329" t="s">
        <v>22</v>
      </c>
      <c r="L329" t="s">
        <v>41</v>
      </c>
      <c r="M329" t="s">
        <v>14</v>
      </c>
    </row>
    <row r="330" spans="1:13" x14ac:dyDescent="0.3">
      <c r="A330">
        <v>60</v>
      </c>
      <c r="B330" t="s">
        <v>13</v>
      </c>
      <c r="C330" t="s">
        <v>14</v>
      </c>
      <c r="D330" t="s">
        <v>15</v>
      </c>
      <c r="E330" t="s">
        <v>16</v>
      </c>
      <c r="F330" t="s">
        <v>17</v>
      </c>
      <c r="G330" t="s">
        <v>18</v>
      </c>
      <c r="H330" t="s">
        <v>27</v>
      </c>
      <c r="I330" t="s">
        <v>20</v>
      </c>
      <c r="J330" t="s">
        <v>21</v>
      </c>
      <c r="K330" t="s">
        <v>22</v>
      </c>
      <c r="L330" t="s">
        <v>23</v>
      </c>
      <c r="M330" t="s">
        <v>24</v>
      </c>
    </row>
    <row r="331" spans="1:13" x14ac:dyDescent="0.3">
      <c r="A331">
        <v>60</v>
      </c>
      <c r="B331" t="s">
        <v>9</v>
      </c>
      <c r="C331" t="s">
        <v>14</v>
      </c>
      <c r="D331" t="s">
        <v>15</v>
      </c>
      <c r="E331" t="s">
        <v>16</v>
      </c>
      <c r="F331" t="s">
        <v>17</v>
      </c>
      <c r="G331" t="s">
        <v>18</v>
      </c>
      <c r="H331" t="s">
        <v>19</v>
      </c>
      <c r="I331" t="s">
        <v>20</v>
      </c>
      <c r="J331" t="s">
        <v>21</v>
      </c>
      <c r="K331" t="s">
        <v>47</v>
      </c>
      <c r="L331" t="s">
        <v>23</v>
      </c>
      <c r="M331" t="s">
        <v>24</v>
      </c>
    </row>
    <row r="332" spans="1:13" x14ac:dyDescent="0.3">
      <c r="A332">
        <v>60</v>
      </c>
      <c r="B332" t="s">
        <v>13</v>
      </c>
      <c r="C332" t="s">
        <v>14</v>
      </c>
      <c r="D332" t="s">
        <v>30</v>
      </c>
      <c r="E332" t="s">
        <v>16</v>
      </c>
      <c r="F332" t="s">
        <v>17</v>
      </c>
      <c r="G332" t="s">
        <v>18</v>
      </c>
      <c r="H332" t="s">
        <v>27</v>
      </c>
      <c r="I332" t="s">
        <v>20</v>
      </c>
      <c r="J332" t="s">
        <v>21</v>
      </c>
      <c r="K332" t="s">
        <v>47</v>
      </c>
      <c r="L332" t="s">
        <v>23</v>
      </c>
      <c r="M332" t="s">
        <v>24</v>
      </c>
    </row>
    <row r="333" spans="1:13" x14ac:dyDescent="0.3">
      <c r="A333">
        <v>61</v>
      </c>
      <c r="B333" t="s">
        <v>9</v>
      </c>
      <c r="C333" t="s">
        <v>14</v>
      </c>
      <c r="D333" t="s">
        <v>14</v>
      </c>
      <c r="E333" t="s">
        <v>16</v>
      </c>
      <c r="F333" t="s">
        <v>25</v>
      </c>
      <c r="G333" t="s">
        <v>33</v>
      </c>
      <c r="H333" t="s">
        <v>27</v>
      </c>
      <c r="I333" t="s">
        <v>28</v>
      </c>
      <c r="J333" t="s">
        <v>21</v>
      </c>
      <c r="K333" t="s">
        <v>22</v>
      </c>
      <c r="L333" t="s">
        <v>35</v>
      </c>
      <c r="M333" t="s">
        <v>14</v>
      </c>
    </row>
    <row r="334" spans="1:13" x14ac:dyDescent="0.3">
      <c r="A334">
        <v>61</v>
      </c>
      <c r="B334" t="s">
        <v>13</v>
      </c>
      <c r="C334" t="s">
        <v>14</v>
      </c>
      <c r="D334" t="s">
        <v>14</v>
      </c>
      <c r="E334" t="s">
        <v>16</v>
      </c>
      <c r="F334" t="s">
        <v>25</v>
      </c>
      <c r="G334" t="s">
        <v>18</v>
      </c>
      <c r="H334" t="s">
        <v>19</v>
      </c>
      <c r="I334" t="s">
        <v>28</v>
      </c>
      <c r="J334" t="s">
        <v>21</v>
      </c>
      <c r="K334" t="s">
        <v>47</v>
      </c>
      <c r="L334" t="s">
        <v>35</v>
      </c>
      <c r="M334" t="s">
        <v>14</v>
      </c>
    </row>
    <row r="335" spans="1:13" x14ac:dyDescent="0.3">
      <c r="A335">
        <v>61</v>
      </c>
      <c r="B335" t="s">
        <v>9</v>
      </c>
      <c r="C335" t="s">
        <v>24</v>
      </c>
      <c r="D335" t="s">
        <v>45</v>
      </c>
      <c r="E335" t="s">
        <v>43</v>
      </c>
      <c r="F335" t="s">
        <v>17</v>
      </c>
      <c r="G335" t="s">
        <v>26</v>
      </c>
      <c r="H335" t="s">
        <v>49</v>
      </c>
      <c r="I335" t="s">
        <v>20</v>
      </c>
      <c r="J335" t="s">
        <v>21</v>
      </c>
      <c r="K335" t="s">
        <v>51</v>
      </c>
      <c r="L335" t="s">
        <v>23</v>
      </c>
      <c r="M335" t="s">
        <v>24</v>
      </c>
    </row>
    <row r="336" spans="1:13" x14ac:dyDescent="0.3">
      <c r="A336">
        <v>62</v>
      </c>
      <c r="B336" t="s">
        <v>13</v>
      </c>
      <c r="C336" t="s">
        <v>14</v>
      </c>
      <c r="D336" t="s">
        <v>14</v>
      </c>
      <c r="E336" t="s">
        <v>16</v>
      </c>
      <c r="F336" t="s">
        <v>25</v>
      </c>
      <c r="G336" t="s">
        <v>33</v>
      </c>
      <c r="H336" t="s">
        <v>27</v>
      </c>
      <c r="I336" t="s">
        <v>28</v>
      </c>
      <c r="J336" t="s">
        <v>21</v>
      </c>
      <c r="K336" t="s">
        <v>22</v>
      </c>
      <c r="L336" t="s">
        <v>41</v>
      </c>
      <c r="M336" t="s">
        <v>24</v>
      </c>
    </row>
    <row r="337" spans="1:13" x14ac:dyDescent="0.3">
      <c r="A337">
        <v>62</v>
      </c>
      <c r="B337" t="s">
        <v>9</v>
      </c>
      <c r="C337" t="s">
        <v>14</v>
      </c>
      <c r="D337" t="s">
        <v>14</v>
      </c>
      <c r="E337" t="s">
        <v>16</v>
      </c>
      <c r="F337" t="s">
        <v>25</v>
      </c>
      <c r="G337" t="s">
        <v>33</v>
      </c>
      <c r="H337" t="s">
        <v>27</v>
      </c>
      <c r="I337" t="s">
        <v>28</v>
      </c>
      <c r="J337" t="s">
        <v>21</v>
      </c>
      <c r="K337" t="s">
        <v>22</v>
      </c>
      <c r="L337" t="s">
        <v>23</v>
      </c>
      <c r="M337" t="s">
        <v>24</v>
      </c>
    </row>
    <row r="338" spans="1:13" x14ac:dyDescent="0.3">
      <c r="A338">
        <v>62</v>
      </c>
      <c r="B338" t="s">
        <v>13</v>
      </c>
      <c r="C338" t="s">
        <v>14</v>
      </c>
      <c r="D338" t="s">
        <v>14</v>
      </c>
      <c r="E338" t="s">
        <v>42</v>
      </c>
      <c r="F338" t="s">
        <v>17</v>
      </c>
      <c r="G338" t="s">
        <v>18</v>
      </c>
      <c r="H338" t="s">
        <v>34</v>
      </c>
      <c r="I338" t="s">
        <v>28</v>
      </c>
      <c r="J338" t="s">
        <v>21</v>
      </c>
      <c r="K338" t="s">
        <v>22</v>
      </c>
      <c r="L338" t="s">
        <v>23</v>
      </c>
      <c r="M338" t="s">
        <v>24</v>
      </c>
    </row>
    <row r="339" spans="1:13" x14ac:dyDescent="0.3">
      <c r="A339">
        <v>62</v>
      </c>
      <c r="B339" t="s">
        <v>13</v>
      </c>
      <c r="C339" t="s">
        <v>14</v>
      </c>
      <c r="D339" t="s">
        <v>14</v>
      </c>
      <c r="E339" t="s">
        <v>37</v>
      </c>
      <c r="F339" t="s">
        <v>17</v>
      </c>
      <c r="G339" t="s">
        <v>33</v>
      </c>
      <c r="H339" t="s">
        <v>38</v>
      </c>
      <c r="I339" t="s">
        <v>28</v>
      </c>
      <c r="J339" t="s">
        <v>21</v>
      </c>
      <c r="K339" t="s">
        <v>22</v>
      </c>
      <c r="L339" t="s">
        <v>35</v>
      </c>
      <c r="M339" t="s">
        <v>14</v>
      </c>
    </row>
    <row r="340" spans="1:13" x14ac:dyDescent="0.3">
      <c r="A340">
        <v>62</v>
      </c>
      <c r="B340" t="s">
        <v>13</v>
      </c>
      <c r="C340" t="s">
        <v>14</v>
      </c>
      <c r="D340" t="s">
        <v>14</v>
      </c>
      <c r="E340" t="s">
        <v>37</v>
      </c>
      <c r="F340" t="s">
        <v>25</v>
      </c>
      <c r="G340" t="s">
        <v>33</v>
      </c>
      <c r="H340" t="s">
        <v>38</v>
      </c>
      <c r="I340" t="s">
        <v>28</v>
      </c>
      <c r="J340" t="s">
        <v>21</v>
      </c>
      <c r="K340" t="s">
        <v>22</v>
      </c>
      <c r="L340" t="s">
        <v>35</v>
      </c>
      <c r="M340" t="s">
        <v>14</v>
      </c>
    </row>
    <row r="341" spans="1:13" x14ac:dyDescent="0.3">
      <c r="A341">
        <v>62</v>
      </c>
      <c r="B341" t="s">
        <v>13</v>
      </c>
      <c r="C341" t="s">
        <v>14</v>
      </c>
      <c r="D341" t="s">
        <v>14</v>
      </c>
      <c r="E341" t="s">
        <v>43</v>
      </c>
      <c r="F341" t="s">
        <v>25</v>
      </c>
      <c r="G341" t="s">
        <v>33</v>
      </c>
      <c r="H341" t="s">
        <v>27</v>
      </c>
      <c r="I341" t="s">
        <v>28</v>
      </c>
      <c r="J341" t="s">
        <v>21</v>
      </c>
      <c r="K341" t="s">
        <v>22</v>
      </c>
      <c r="L341" t="s">
        <v>35</v>
      </c>
      <c r="M341" t="s">
        <v>14</v>
      </c>
    </row>
    <row r="342" spans="1:13" x14ac:dyDescent="0.3">
      <c r="A342">
        <v>62</v>
      </c>
      <c r="B342" t="s">
        <v>13</v>
      </c>
      <c r="C342" t="s">
        <v>14</v>
      </c>
      <c r="D342" t="s">
        <v>14</v>
      </c>
      <c r="E342" t="s">
        <v>43</v>
      </c>
      <c r="F342" t="s">
        <v>17</v>
      </c>
      <c r="G342" t="s">
        <v>18</v>
      </c>
      <c r="H342" t="s">
        <v>19</v>
      </c>
      <c r="I342" t="s">
        <v>28</v>
      </c>
      <c r="J342" t="s">
        <v>21</v>
      </c>
      <c r="K342" t="s">
        <v>47</v>
      </c>
      <c r="L342" t="s">
        <v>31</v>
      </c>
      <c r="M342" t="s">
        <v>14</v>
      </c>
    </row>
    <row r="343" spans="1:13" x14ac:dyDescent="0.3">
      <c r="A343">
        <v>62</v>
      </c>
      <c r="B343" t="s">
        <v>9</v>
      </c>
      <c r="C343" t="s">
        <v>14</v>
      </c>
      <c r="D343" t="s">
        <v>40</v>
      </c>
      <c r="E343" t="s">
        <v>16</v>
      </c>
      <c r="F343" t="s">
        <v>17</v>
      </c>
      <c r="G343" t="s">
        <v>26</v>
      </c>
      <c r="H343" t="s">
        <v>44</v>
      </c>
      <c r="I343" t="s">
        <v>20</v>
      </c>
      <c r="J343" t="s">
        <v>46</v>
      </c>
      <c r="K343" t="s">
        <v>50</v>
      </c>
      <c r="L343" t="s">
        <v>23</v>
      </c>
      <c r="M343" t="s">
        <v>24</v>
      </c>
    </row>
    <row r="344" spans="1:13" x14ac:dyDescent="0.3">
      <c r="A344">
        <v>62</v>
      </c>
      <c r="B344" t="s">
        <v>13</v>
      </c>
      <c r="C344" t="s">
        <v>14</v>
      </c>
      <c r="D344" t="s">
        <v>30</v>
      </c>
      <c r="E344" t="s">
        <v>16</v>
      </c>
      <c r="F344" t="s">
        <v>17</v>
      </c>
      <c r="G344" t="s">
        <v>18</v>
      </c>
      <c r="H344" t="s">
        <v>27</v>
      </c>
      <c r="I344" t="s">
        <v>20</v>
      </c>
      <c r="J344" t="s">
        <v>21</v>
      </c>
      <c r="K344" t="s">
        <v>47</v>
      </c>
      <c r="L344" t="s">
        <v>23</v>
      </c>
      <c r="M344" t="s">
        <v>24</v>
      </c>
    </row>
    <row r="345" spans="1:13" x14ac:dyDescent="0.3">
      <c r="A345">
        <v>62</v>
      </c>
      <c r="B345" t="s">
        <v>13</v>
      </c>
      <c r="C345" t="s">
        <v>14</v>
      </c>
      <c r="D345" t="s">
        <v>30</v>
      </c>
      <c r="E345" t="s">
        <v>16</v>
      </c>
      <c r="F345" t="s">
        <v>17</v>
      </c>
      <c r="G345" t="s">
        <v>18</v>
      </c>
      <c r="H345" t="s">
        <v>19</v>
      </c>
      <c r="I345" t="s">
        <v>20</v>
      </c>
      <c r="J345" t="s">
        <v>21</v>
      </c>
      <c r="K345" t="s">
        <v>47</v>
      </c>
      <c r="L345" t="s">
        <v>23</v>
      </c>
      <c r="M345" t="s">
        <v>24</v>
      </c>
    </row>
    <row r="346" spans="1:13" x14ac:dyDescent="0.3">
      <c r="A346">
        <v>63</v>
      </c>
      <c r="B346" t="s">
        <v>13</v>
      </c>
      <c r="C346" t="s">
        <v>14</v>
      </c>
      <c r="D346" t="s">
        <v>14</v>
      </c>
      <c r="E346" t="s">
        <v>42</v>
      </c>
      <c r="F346" t="s">
        <v>25</v>
      </c>
      <c r="G346" t="s">
        <v>18</v>
      </c>
      <c r="H346" t="s">
        <v>19</v>
      </c>
      <c r="I346" t="s">
        <v>28</v>
      </c>
      <c r="J346" t="s">
        <v>21</v>
      </c>
      <c r="K346" t="s">
        <v>47</v>
      </c>
      <c r="L346" t="s">
        <v>31</v>
      </c>
      <c r="M346" t="s">
        <v>24</v>
      </c>
    </row>
    <row r="347" spans="1:13" x14ac:dyDescent="0.3">
      <c r="A347">
        <v>63</v>
      </c>
      <c r="B347" t="s">
        <v>13</v>
      </c>
      <c r="C347" t="s">
        <v>14</v>
      </c>
      <c r="D347" t="s">
        <v>14</v>
      </c>
      <c r="E347" t="s">
        <v>16</v>
      </c>
      <c r="F347" t="s">
        <v>25</v>
      </c>
      <c r="G347" t="s">
        <v>33</v>
      </c>
      <c r="H347" t="s">
        <v>27</v>
      </c>
      <c r="I347" t="s">
        <v>28</v>
      </c>
      <c r="J347" t="s">
        <v>21</v>
      </c>
      <c r="K347" t="s">
        <v>22</v>
      </c>
      <c r="L347" t="s">
        <v>35</v>
      </c>
      <c r="M347" t="s">
        <v>14</v>
      </c>
    </row>
    <row r="348" spans="1:13" x14ac:dyDescent="0.3">
      <c r="A348">
        <v>63</v>
      </c>
      <c r="B348" t="s">
        <v>13</v>
      </c>
      <c r="C348" t="s">
        <v>14</v>
      </c>
      <c r="D348" t="s">
        <v>14</v>
      </c>
      <c r="E348" t="s">
        <v>16</v>
      </c>
      <c r="F348" t="s">
        <v>25</v>
      </c>
      <c r="G348" t="s">
        <v>33</v>
      </c>
      <c r="H348" t="s">
        <v>27</v>
      </c>
      <c r="I348" t="s">
        <v>28</v>
      </c>
      <c r="J348" t="s">
        <v>21</v>
      </c>
      <c r="K348" t="s">
        <v>22</v>
      </c>
      <c r="L348" t="s">
        <v>41</v>
      </c>
      <c r="M348" t="s">
        <v>14</v>
      </c>
    </row>
    <row r="349" spans="1:13" x14ac:dyDescent="0.3">
      <c r="A349">
        <v>63</v>
      </c>
      <c r="B349" t="s">
        <v>9</v>
      </c>
      <c r="C349" t="s">
        <v>14</v>
      </c>
      <c r="D349" t="s">
        <v>30</v>
      </c>
      <c r="E349" t="s">
        <v>16</v>
      </c>
      <c r="F349" t="s">
        <v>17</v>
      </c>
      <c r="G349" t="s">
        <v>18</v>
      </c>
      <c r="H349" t="s">
        <v>19</v>
      </c>
      <c r="I349" t="s">
        <v>20</v>
      </c>
      <c r="J349" t="s">
        <v>21</v>
      </c>
      <c r="K349" t="s">
        <v>47</v>
      </c>
      <c r="L349" t="s">
        <v>23</v>
      </c>
      <c r="M349" t="s">
        <v>24</v>
      </c>
    </row>
    <row r="350" spans="1:13" x14ac:dyDescent="0.3">
      <c r="A350">
        <v>64</v>
      </c>
      <c r="B350" t="s">
        <v>13</v>
      </c>
      <c r="C350" t="s">
        <v>14</v>
      </c>
      <c r="D350" t="s">
        <v>14</v>
      </c>
      <c r="E350" t="s">
        <v>42</v>
      </c>
      <c r="F350" t="s">
        <v>17</v>
      </c>
      <c r="G350" t="s">
        <v>26</v>
      </c>
      <c r="H350" t="s">
        <v>44</v>
      </c>
      <c r="I350" t="s">
        <v>28</v>
      </c>
      <c r="J350" t="s">
        <v>46</v>
      </c>
      <c r="K350" t="s">
        <v>50</v>
      </c>
      <c r="L350" t="s">
        <v>23</v>
      </c>
      <c r="M350" t="s">
        <v>24</v>
      </c>
    </row>
    <row r="351" spans="1:13" x14ac:dyDescent="0.3">
      <c r="A351">
        <v>65</v>
      </c>
      <c r="B351" t="s">
        <v>13</v>
      </c>
      <c r="C351" t="s">
        <v>14</v>
      </c>
      <c r="D351" t="s">
        <v>15</v>
      </c>
      <c r="E351" t="s">
        <v>16</v>
      </c>
      <c r="F351" t="s">
        <v>17</v>
      </c>
      <c r="G351" t="s">
        <v>18</v>
      </c>
      <c r="H351" t="s">
        <v>19</v>
      </c>
      <c r="I351" t="s">
        <v>20</v>
      </c>
      <c r="J351" t="s">
        <v>21</v>
      </c>
      <c r="K351" t="s">
        <v>47</v>
      </c>
      <c r="L351" t="s">
        <v>41</v>
      </c>
      <c r="M351" t="s">
        <v>24</v>
      </c>
    </row>
    <row r="352" spans="1:13" x14ac:dyDescent="0.3">
      <c r="A352">
        <v>66</v>
      </c>
      <c r="B352" t="s">
        <v>13</v>
      </c>
      <c r="C352" t="s">
        <v>14</v>
      </c>
      <c r="D352" t="s">
        <v>14</v>
      </c>
      <c r="E352" t="s">
        <v>16</v>
      </c>
      <c r="F352" t="s">
        <v>25</v>
      </c>
      <c r="G352" t="s">
        <v>33</v>
      </c>
      <c r="H352" t="s">
        <v>27</v>
      </c>
      <c r="I352" t="s">
        <v>28</v>
      </c>
      <c r="J352" t="s">
        <v>21</v>
      </c>
      <c r="K352" t="s">
        <v>22</v>
      </c>
      <c r="L352" t="s">
        <v>35</v>
      </c>
      <c r="M352" t="s">
        <v>14</v>
      </c>
    </row>
    <row r="353" spans="1:13" x14ac:dyDescent="0.3">
      <c r="A353">
        <v>67</v>
      </c>
      <c r="B353" t="s">
        <v>9</v>
      </c>
      <c r="C353" t="s">
        <v>14</v>
      </c>
      <c r="D353" t="s">
        <v>15</v>
      </c>
      <c r="E353" t="s">
        <v>16</v>
      </c>
      <c r="F353" t="s">
        <v>25</v>
      </c>
      <c r="G353" t="s">
        <v>18</v>
      </c>
      <c r="H353" t="s">
        <v>19</v>
      </c>
      <c r="I353" t="s">
        <v>28</v>
      </c>
      <c r="J353" t="s">
        <v>21</v>
      </c>
      <c r="K353" t="s">
        <v>47</v>
      </c>
      <c r="L353" t="s">
        <v>41</v>
      </c>
      <c r="M353" t="s">
        <v>24</v>
      </c>
    </row>
    <row r="354" spans="1:13" x14ac:dyDescent="0.3">
      <c r="A354">
        <v>67</v>
      </c>
      <c r="B354" t="s">
        <v>13</v>
      </c>
      <c r="C354" t="s">
        <v>14</v>
      </c>
      <c r="D354" t="s">
        <v>14</v>
      </c>
      <c r="E354" t="s">
        <v>43</v>
      </c>
      <c r="F354" t="s">
        <v>25</v>
      </c>
      <c r="G354" t="s">
        <v>18</v>
      </c>
      <c r="H354" t="s">
        <v>19</v>
      </c>
      <c r="I354" t="s">
        <v>28</v>
      </c>
      <c r="J354" t="s">
        <v>21</v>
      </c>
      <c r="K354" t="s">
        <v>47</v>
      </c>
      <c r="L354" t="s">
        <v>31</v>
      </c>
      <c r="M354" t="s">
        <v>24</v>
      </c>
    </row>
    <row r="355" spans="1:13" x14ac:dyDescent="0.3">
      <c r="A355">
        <v>67</v>
      </c>
      <c r="B355" t="s">
        <v>13</v>
      </c>
      <c r="C355" t="s">
        <v>14</v>
      </c>
      <c r="D355" t="s">
        <v>14</v>
      </c>
      <c r="E355" t="s">
        <v>16</v>
      </c>
      <c r="F355" t="s">
        <v>17</v>
      </c>
      <c r="G355" t="s">
        <v>26</v>
      </c>
      <c r="H355" t="s">
        <v>44</v>
      </c>
      <c r="I355" t="s">
        <v>28</v>
      </c>
      <c r="J355" t="s">
        <v>21</v>
      </c>
      <c r="K355" t="s">
        <v>51</v>
      </c>
      <c r="L355" t="s">
        <v>41</v>
      </c>
      <c r="M355" t="s">
        <v>24</v>
      </c>
    </row>
    <row r="356" spans="1:13" x14ac:dyDescent="0.3">
      <c r="A356">
        <v>67</v>
      </c>
      <c r="B356" t="s">
        <v>9</v>
      </c>
      <c r="C356" t="s">
        <v>14</v>
      </c>
      <c r="D356" t="s">
        <v>14</v>
      </c>
      <c r="E356" t="s">
        <v>16</v>
      </c>
      <c r="F356" t="s">
        <v>17</v>
      </c>
      <c r="G356" t="s">
        <v>33</v>
      </c>
      <c r="H356" t="s">
        <v>27</v>
      </c>
      <c r="I356" t="s">
        <v>28</v>
      </c>
      <c r="J356" t="s">
        <v>21</v>
      </c>
      <c r="K356" t="s">
        <v>22</v>
      </c>
      <c r="L356" t="s">
        <v>35</v>
      </c>
      <c r="M356" t="s">
        <v>14</v>
      </c>
    </row>
    <row r="357" spans="1:13" x14ac:dyDescent="0.3">
      <c r="A357">
        <v>67</v>
      </c>
      <c r="B357" t="s">
        <v>13</v>
      </c>
      <c r="C357" t="s">
        <v>14</v>
      </c>
      <c r="D357" t="s">
        <v>14</v>
      </c>
      <c r="E357" t="s">
        <v>16</v>
      </c>
      <c r="F357" t="s">
        <v>25</v>
      </c>
      <c r="G357" t="s">
        <v>33</v>
      </c>
      <c r="H357" t="s">
        <v>27</v>
      </c>
      <c r="I357" t="s">
        <v>28</v>
      </c>
      <c r="J357" t="s">
        <v>21</v>
      </c>
      <c r="K357" t="s">
        <v>22</v>
      </c>
      <c r="L357" t="s">
        <v>35</v>
      </c>
      <c r="M357" t="s">
        <v>14</v>
      </c>
    </row>
    <row r="358" spans="1:13" x14ac:dyDescent="0.3">
      <c r="A358">
        <v>67</v>
      </c>
      <c r="B358" t="s">
        <v>9</v>
      </c>
      <c r="C358" t="s">
        <v>14</v>
      </c>
      <c r="D358" t="s">
        <v>15</v>
      </c>
      <c r="E358" t="s">
        <v>16</v>
      </c>
      <c r="F358" t="s">
        <v>17</v>
      </c>
      <c r="G358" t="s">
        <v>26</v>
      </c>
      <c r="H358" t="s">
        <v>49</v>
      </c>
      <c r="I358" t="s">
        <v>20</v>
      </c>
      <c r="J358" t="s">
        <v>21</v>
      </c>
      <c r="K358" t="s">
        <v>51</v>
      </c>
      <c r="L358" t="s">
        <v>23</v>
      </c>
      <c r="M358" t="s">
        <v>24</v>
      </c>
    </row>
    <row r="359" spans="1:13" x14ac:dyDescent="0.3">
      <c r="A359">
        <v>67</v>
      </c>
      <c r="B359" t="s">
        <v>13</v>
      </c>
      <c r="C359" t="s">
        <v>14</v>
      </c>
      <c r="D359" t="s">
        <v>30</v>
      </c>
      <c r="E359" t="s">
        <v>16</v>
      </c>
      <c r="F359" t="s">
        <v>17</v>
      </c>
      <c r="G359" t="s">
        <v>26</v>
      </c>
      <c r="H359" t="s">
        <v>44</v>
      </c>
      <c r="I359" t="s">
        <v>20</v>
      </c>
      <c r="J359" t="s">
        <v>21</v>
      </c>
      <c r="K359" t="s">
        <v>52</v>
      </c>
      <c r="L359" t="s">
        <v>23</v>
      </c>
      <c r="M359" t="s">
        <v>24</v>
      </c>
    </row>
    <row r="360" spans="1:13" x14ac:dyDescent="0.3">
      <c r="A360">
        <v>68</v>
      </c>
      <c r="B360" t="s">
        <v>13</v>
      </c>
      <c r="C360" t="s">
        <v>14</v>
      </c>
      <c r="D360" t="s">
        <v>14</v>
      </c>
      <c r="E360" t="s">
        <v>16</v>
      </c>
      <c r="F360" t="s">
        <v>25</v>
      </c>
      <c r="G360" t="s">
        <v>33</v>
      </c>
      <c r="H360" t="s">
        <v>27</v>
      </c>
      <c r="I360" t="s">
        <v>28</v>
      </c>
      <c r="J360" t="s">
        <v>21</v>
      </c>
      <c r="K360" t="s">
        <v>22</v>
      </c>
      <c r="L360" t="s">
        <v>35</v>
      </c>
      <c r="M360" t="s">
        <v>14</v>
      </c>
    </row>
    <row r="361" spans="1:13" x14ac:dyDescent="0.3">
      <c r="A361">
        <v>68</v>
      </c>
      <c r="B361" t="s">
        <v>9</v>
      </c>
      <c r="C361" t="s">
        <v>14</v>
      </c>
      <c r="D361" t="s">
        <v>15</v>
      </c>
      <c r="E361" t="s">
        <v>16</v>
      </c>
      <c r="F361" t="s">
        <v>17</v>
      </c>
      <c r="G361" t="s">
        <v>18</v>
      </c>
      <c r="H361" t="s">
        <v>39</v>
      </c>
      <c r="I361" t="s">
        <v>20</v>
      </c>
      <c r="J361" t="s">
        <v>21</v>
      </c>
      <c r="K361" t="s">
        <v>52</v>
      </c>
      <c r="L361" t="s">
        <v>23</v>
      </c>
      <c r="M361" t="s">
        <v>24</v>
      </c>
    </row>
    <row r="362" spans="1:13" x14ac:dyDescent="0.3">
      <c r="A362">
        <v>68</v>
      </c>
      <c r="B362" t="s">
        <v>13</v>
      </c>
      <c r="C362" t="s">
        <v>14</v>
      </c>
      <c r="D362" t="s">
        <v>15</v>
      </c>
      <c r="E362" t="s">
        <v>16</v>
      </c>
      <c r="F362" t="s">
        <v>17</v>
      </c>
      <c r="G362" t="s">
        <v>26</v>
      </c>
      <c r="H362" t="s">
        <v>44</v>
      </c>
      <c r="I362" t="s">
        <v>20</v>
      </c>
      <c r="J362" t="s">
        <v>46</v>
      </c>
      <c r="K362" t="s">
        <v>50</v>
      </c>
      <c r="L362" t="s">
        <v>23</v>
      </c>
      <c r="M362" t="s">
        <v>24</v>
      </c>
    </row>
    <row r="363" spans="1:13" x14ac:dyDescent="0.3">
      <c r="A363">
        <v>69</v>
      </c>
      <c r="B363" t="s">
        <v>13</v>
      </c>
      <c r="C363" t="s">
        <v>14</v>
      </c>
      <c r="D363" t="s">
        <v>14</v>
      </c>
      <c r="E363" t="s">
        <v>16</v>
      </c>
      <c r="F363" t="s">
        <v>25</v>
      </c>
      <c r="G363" t="s">
        <v>33</v>
      </c>
      <c r="H363" t="s">
        <v>34</v>
      </c>
      <c r="I363" t="s">
        <v>28</v>
      </c>
      <c r="J363" t="s">
        <v>21</v>
      </c>
      <c r="K363" t="s">
        <v>22</v>
      </c>
      <c r="L363" t="s">
        <v>35</v>
      </c>
      <c r="M363" t="s">
        <v>14</v>
      </c>
    </row>
    <row r="364" spans="1:13" x14ac:dyDescent="0.3">
      <c r="A364">
        <v>70</v>
      </c>
      <c r="B364" t="s">
        <v>13</v>
      </c>
      <c r="C364" t="s">
        <v>14</v>
      </c>
      <c r="D364" t="s">
        <v>14</v>
      </c>
      <c r="E364" t="s">
        <v>16</v>
      </c>
      <c r="F364" t="s">
        <v>17</v>
      </c>
      <c r="G364" t="s">
        <v>33</v>
      </c>
      <c r="H364" t="s">
        <v>19</v>
      </c>
      <c r="I364" t="s">
        <v>28</v>
      </c>
      <c r="J364" t="s">
        <v>21</v>
      </c>
      <c r="K364" t="s">
        <v>22</v>
      </c>
      <c r="L364" t="s">
        <v>31</v>
      </c>
      <c r="M364" t="s">
        <v>14</v>
      </c>
    </row>
    <row r="365" spans="1:13" x14ac:dyDescent="0.3">
      <c r="A365">
        <v>70</v>
      </c>
      <c r="B365" t="s">
        <v>13</v>
      </c>
      <c r="C365" t="s">
        <v>14</v>
      </c>
      <c r="D365" t="s">
        <v>14</v>
      </c>
      <c r="E365" t="s">
        <v>37</v>
      </c>
      <c r="F365" t="s">
        <v>25</v>
      </c>
      <c r="G365" t="s">
        <v>33</v>
      </c>
      <c r="H365" t="s">
        <v>38</v>
      </c>
      <c r="I365" t="s">
        <v>28</v>
      </c>
      <c r="J365" t="s">
        <v>21</v>
      </c>
      <c r="K365" t="s">
        <v>22</v>
      </c>
      <c r="L365" t="s">
        <v>35</v>
      </c>
      <c r="M365" t="s">
        <v>14</v>
      </c>
    </row>
    <row r="366" spans="1:13" x14ac:dyDescent="0.3">
      <c r="A366">
        <v>71</v>
      </c>
      <c r="B366" t="s">
        <v>13</v>
      </c>
      <c r="C366" t="s">
        <v>14</v>
      </c>
      <c r="D366" t="s">
        <v>14</v>
      </c>
      <c r="E366" t="s">
        <v>42</v>
      </c>
      <c r="F366" t="s">
        <v>17</v>
      </c>
      <c r="G366" t="s">
        <v>26</v>
      </c>
      <c r="H366" t="s">
        <v>44</v>
      </c>
      <c r="I366" t="s">
        <v>28</v>
      </c>
      <c r="J366" t="s">
        <v>46</v>
      </c>
      <c r="K366" t="s">
        <v>50</v>
      </c>
      <c r="L366" t="s">
        <v>23</v>
      </c>
      <c r="M366" t="s">
        <v>24</v>
      </c>
    </row>
    <row r="367" spans="1:13" x14ac:dyDescent="0.3">
      <c r="A367">
        <v>71</v>
      </c>
      <c r="B367" t="s">
        <v>9</v>
      </c>
      <c r="C367" t="s">
        <v>14</v>
      </c>
      <c r="D367" t="s">
        <v>15</v>
      </c>
      <c r="E367" t="s">
        <v>16</v>
      </c>
      <c r="F367" t="s">
        <v>17</v>
      </c>
      <c r="G367" t="s">
        <v>26</v>
      </c>
      <c r="H367" t="s">
        <v>44</v>
      </c>
      <c r="I367" t="s">
        <v>20</v>
      </c>
      <c r="J367" t="s">
        <v>21</v>
      </c>
      <c r="K367" t="s">
        <v>52</v>
      </c>
      <c r="L367" t="s">
        <v>23</v>
      </c>
      <c r="M367" t="s">
        <v>24</v>
      </c>
    </row>
    <row r="368" spans="1:13" x14ac:dyDescent="0.3">
      <c r="A368">
        <v>72</v>
      </c>
      <c r="B368" t="s">
        <v>13</v>
      </c>
      <c r="C368" t="s">
        <v>14</v>
      </c>
      <c r="D368" t="s">
        <v>14</v>
      </c>
      <c r="E368" t="s">
        <v>16</v>
      </c>
      <c r="F368" t="s">
        <v>25</v>
      </c>
      <c r="G368" t="s">
        <v>33</v>
      </c>
      <c r="H368" t="s">
        <v>27</v>
      </c>
      <c r="I368" t="s">
        <v>28</v>
      </c>
      <c r="J368" t="s">
        <v>21</v>
      </c>
      <c r="K368" t="s">
        <v>22</v>
      </c>
      <c r="L368" t="s">
        <v>31</v>
      </c>
      <c r="M368" t="s">
        <v>14</v>
      </c>
    </row>
    <row r="369" spans="1:13" x14ac:dyDescent="0.3">
      <c r="A369">
        <v>72</v>
      </c>
      <c r="B369" t="s">
        <v>9</v>
      </c>
      <c r="C369" t="s">
        <v>14</v>
      </c>
      <c r="D369" t="s">
        <v>15</v>
      </c>
      <c r="E369" t="s">
        <v>16</v>
      </c>
      <c r="F369" t="s">
        <v>17</v>
      </c>
      <c r="G369" t="s">
        <v>26</v>
      </c>
      <c r="H369" t="s">
        <v>49</v>
      </c>
      <c r="I369" t="s">
        <v>20</v>
      </c>
      <c r="J369" t="s">
        <v>46</v>
      </c>
      <c r="K369" t="s">
        <v>50</v>
      </c>
      <c r="L369" t="s">
        <v>23</v>
      </c>
      <c r="M369" t="s">
        <v>24</v>
      </c>
    </row>
    <row r="370" spans="1:13" x14ac:dyDescent="0.3">
      <c r="A370">
        <v>72</v>
      </c>
      <c r="B370" t="s">
        <v>9</v>
      </c>
      <c r="C370" t="s">
        <v>24</v>
      </c>
      <c r="D370" t="s">
        <v>30</v>
      </c>
      <c r="E370" t="s">
        <v>16</v>
      </c>
      <c r="F370" t="s">
        <v>25</v>
      </c>
      <c r="G370" t="s">
        <v>26</v>
      </c>
      <c r="H370" t="s">
        <v>49</v>
      </c>
      <c r="I370" t="s">
        <v>20</v>
      </c>
      <c r="J370" t="s">
        <v>46</v>
      </c>
      <c r="K370" t="s">
        <v>50</v>
      </c>
      <c r="L370" t="s">
        <v>41</v>
      </c>
      <c r="M370" t="s">
        <v>24</v>
      </c>
    </row>
    <row r="371" spans="1:13" x14ac:dyDescent="0.3">
      <c r="A371">
        <v>73</v>
      </c>
      <c r="B371" t="s">
        <v>13</v>
      </c>
      <c r="C371" t="s">
        <v>14</v>
      </c>
      <c r="D371" t="s">
        <v>14</v>
      </c>
      <c r="E371" t="s">
        <v>16</v>
      </c>
      <c r="F371" t="s">
        <v>25</v>
      </c>
      <c r="G371" t="s">
        <v>18</v>
      </c>
      <c r="H371" t="s">
        <v>19</v>
      </c>
      <c r="I371" t="s">
        <v>28</v>
      </c>
      <c r="J371" t="s">
        <v>21</v>
      </c>
      <c r="K371" t="s">
        <v>47</v>
      </c>
      <c r="L371" t="s">
        <v>23</v>
      </c>
      <c r="M371" t="s">
        <v>24</v>
      </c>
    </row>
    <row r="372" spans="1:13" x14ac:dyDescent="0.3">
      <c r="A372">
        <v>73</v>
      </c>
      <c r="B372" t="s">
        <v>13</v>
      </c>
      <c r="C372" t="s">
        <v>14</v>
      </c>
      <c r="D372" t="s">
        <v>14</v>
      </c>
      <c r="E372" t="s">
        <v>16</v>
      </c>
      <c r="F372" t="s">
        <v>25</v>
      </c>
      <c r="G372" t="s">
        <v>33</v>
      </c>
      <c r="H372" t="s">
        <v>34</v>
      </c>
      <c r="I372" t="s">
        <v>28</v>
      </c>
      <c r="J372" t="s">
        <v>21</v>
      </c>
      <c r="K372" t="s">
        <v>22</v>
      </c>
      <c r="L372" t="s">
        <v>35</v>
      </c>
      <c r="M372" t="s">
        <v>14</v>
      </c>
    </row>
    <row r="373" spans="1:13" x14ac:dyDescent="0.3">
      <c r="A373">
        <v>73</v>
      </c>
      <c r="B373" t="s">
        <v>13</v>
      </c>
      <c r="C373" t="s">
        <v>14</v>
      </c>
      <c r="D373" t="s">
        <v>30</v>
      </c>
      <c r="E373" t="s">
        <v>16</v>
      </c>
      <c r="F373" t="s">
        <v>17</v>
      </c>
      <c r="G373" t="s">
        <v>26</v>
      </c>
      <c r="H373" t="s">
        <v>39</v>
      </c>
      <c r="I373" t="s">
        <v>36</v>
      </c>
      <c r="J373" t="s">
        <v>46</v>
      </c>
      <c r="K373" t="s">
        <v>50</v>
      </c>
      <c r="L373" t="s">
        <v>23</v>
      </c>
      <c r="M373" t="s">
        <v>24</v>
      </c>
    </row>
    <row r="374" spans="1:13" x14ac:dyDescent="0.3">
      <c r="A374">
        <v>75</v>
      </c>
      <c r="B374" t="s">
        <v>13</v>
      </c>
      <c r="C374" t="s">
        <v>14</v>
      </c>
      <c r="D374" t="s">
        <v>14</v>
      </c>
      <c r="E374" t="s">
        <v>37</v>
      </c>
      <c r="F374" t="s">
        <v>25</v>
      </c>
      <c r="G374" t="s">
        <v>33</v>
      </c>
      <c r="H374" t="s">
        <v>38</v>
      </c>
      <c r="I374" t="s">
        <v>28</v>
      </c>
      <c r="J374" t="s">
        <v>21</v>
      </c>
      <c r="K374" t="s">
        <v>22</v>
      </c>
      <c r="L374" t="s">
        <v>35</v>
      </c>
      <c r="M374" t="s">
        <v>14</v>
      </c>
    </row>
    <row r="375" spans="1:13" x14ac:dyDescent="0.3">
      <c r="A375">
        <v>75</v>
      </c>
      <c r="B375" t="s">
        <v>9</v>
      </c>
      <c r="C375" t="s">
        <v>24</v>
      </c>
      <c r="D375" t="s">
        <v>14</v>
      </c>
      <c r="E375" t="s">
        <v>42</v>
      </c>
      <c r="F375" t="s">
        <v>17</v>
      </c>
      <c r="G375" t="s">
        <v>26</v>
      </c>
      <c r="H375" t="s">
        <v>27</v>
      </c>
      <c r="I375" t="s">
        <v>28</v>
      </c>
      <c r="J375" t="s">
        <v>46</v>
      </c>
      <c r="K375" t="s">
        <v>50</v>
      </c>
      <c r="L375" t="s">
        <v>23</v>
      </c>
      <c r="M375" t="s">
        <v>24</v>
      </c>
    </row>
    <row r="376" spans="1:13" x14ac:dyDescent="0.3">
      <c r="A376">
        <v>76</v>
      </c>
      <c r="B376" t="s">
        <v>13</v>
      </c>
      <c r="C376" t="s">
        <v>14</v>
      </c>
      <c r="D376" t="s">
        <v>14</v>
      </c>
      <c r="E376" t="s">
        <v>37</v>
      </c>
      <c r="F376" t="s">
        <v>25</v>
      </c>
      <c r="G376" t="s">
        <v>33</v>
      </c>
      <c r="H376" t="s">
        <v>38</v>
      </c>
      <c r="I376" t="s">
        <v>28</v>
      </c>
      <c r="J376" t="s">
        <v>21</v>
      </c>
      <c r="K376" t="s">
        <v>22</v>
      </c>
      <c r="L376" t="s">
        <v>35</v>
      </c>
      <c r="M376" t="s">
        <v>14</v>
      </c>
    </row>
    <row r="377" spans="1:13" x14ac:dyDescent="0.3">
      <c r="A377">
        <v>78</v>
      </c>
      <c r="B377" t="s">
        <v>9</v>
      </c>
      <c r="C377" t="s">
        <v>24</v>
      </c>
      <c r="D377" t="s">
        <v>14</v>
      </c>
      <c r="E377" t="s">
        <v>42</v>
      </c>
      <c r="F377" t="s">
        <v>17</v>
      </c>
      <c r="G377" t="s">
        <v>26</v>
      </c>
      <c r="H377" t="s">
        <v>44</v>
      </c>
      <c r="I377" t="s">
        <v>28</v>
      </c>
      <c r="J377" t="s">
        <v>46</v>
      </c>
      <c r="K377" t="s">
        <v>50</v>
      </c>
      <c r="L377" t="s">
        <v>23</v>
      </c>
      <c r="M377" t="s">
        <v>24</v>
      </c>
    </row>
    <row r="378" spans="1:13" x14ac:dyDescent="0.3">
      <c r="A378">
        <v>79</v>
      </c>
      <c r="B378" t="s">
        <v>9</v>
      </c>
      <c r="C378" t="s">
        <v>14</v>
      </c>
      <c r="D378" t="s">
        <v>15</v>
      </c>
      <c r="E378" t="s">
        <v>16</v>
      </c>
      <c r="F378" t="s">
        <v>17</v>
      </c>
      <c r="G378" t="s">
        <v>18</v>
      </c>
      <c r="H378" t="s">
        <v>19</v>
      </c>
      <c r="I378" t="s">
        <v>20</v>
      </c>
      <c r="J378" t="s">
        <v>21</v>
      </c>
      <c r="K378" t="s">
        <v>47</v>
      </c>
      <c r="L378" t="s">
        <v>31</v>
      </c>
      <c r="M378" t="s">
        <v>24</v>
      </c>
    </row>
    <row r="379" spans="1:13" x14ac:dyDescent="0.3">
      <c r="A379">
        <v>80</v>
      </c>
      <c r="B379" t="s">
        <v>9</v>
      </c>
      <c r="C379" t="s">
        <v>14</v>
      </c>
      <c r="D379" t="s">
        <v>14</v>
      </c>
      <c r="E379" t="s">
        <v>43</v>
      </c>
      <c r="F379" t="s">
        <v>17</v>
      </c>
      <c r="G379" t="s">
        <v>18</v>
      </c>
      <c r="H379" t="s">
        <v>44</v>
      </c>
      <c r="I379" t="s">
        <v>28</v>
      </c>
      <c r="J379" t="s">
        <v>21</v>
      </c>
      <c r="K379" t="s">
        <v>47</v>
      </c>
      <c r="L379" t="s">
        <v>23</v>
      </c>
      <c r="M379" t="s">
        <v>24</v>
      </c>
    </row>
    <row r="380" spans="1:13" x14ac:dyDescent="0.3">
      <c r="A380">
        <v>80</v>
      </c>
      <c r="B380" t="s">
        <v>13</v>
      </c>
      <c r="C380" t="s">
        <v>14</v>
      </c>
      <c r="D380" t="s">
        <v>30</v>
      </c>
      <c r="E380" t="s">
        <v>16</v>
      </c>
      <c r="F380" t="s">
        <v>17</v>
      </c>
      <c r="G380" t="s">
        <v>18</v>
      </c>
      <c r="H380" t="s">
        <v>19</v>
      </c>
      <c r="I380" t="s">
        <v>20</v>
      </c>
      <c r="J380" t="s">
        <v>21</v>
      </c>
      <c r="K380" t="s">
        <v>47</v>
      </c>
      <c r="L380" t="s">
        <v>23</v>
      </c>
      <c r="M380" t="s">
        <v>24</v>
      </c>
    </row>
    <row r="381" spans="1:13" x14ac:dyDescent="0.3">
      <c r="A381">
        <v>80</v>
      </c>
      <c r="B381" t="s">
        <v>13</v>
      </c>
      <c r="C381" t="s">
        <v>14</v>
      </c>
      <c r="D381" t="s">
        <v>30</v>
      </c>
      <c r="E381" t="s">
        <v>16</v>
      </c>
      <c r="F381" t="s">
        <v>25</v>
      </c>
      <c r="G381" t="s">
        <v>26</v>
      </c>
      <c r="H381" t="s">
        <v>44</v>
      </c>
      <c r="I381" t="s">
        <v>20</v>
      </c>
      <c r="J381" t="s">
        <v>21</v>
      </c>
      <c r="K381" t="s">
        <v>52</v>
      </c>
      <c r="L381" t="s">
        <v>23</v>
      </c>
      <c r="M381" t="s">
        <v>24</v>
      </c>
    </row>
    <row r="382" spans="1:13" x14ac:dyDescent="0.3">
      <c r="A382">
        <v>81</v>
      </c>
      <c r="B382" t="s">
        <v>13</v>
      </c>
      <c r="C382" t="s">
        <v>14</v>
      </c>
      <c r="D382" t="s">
        <v>14</v>
      </c>
      <c r="E382" t="s">
        <v>16</v>
      </c>
      <c r="F382" t="s">
        <v>17</v>
      </c>
      <c r="G382" t="s">
        <v>33</v>
      </c>
      <c r="H382" t="s">
        <v>19</v>
      </c>
      <c r="I382" t="s">
        <v>28</v>
      </c>
      <c r="J382" t="s">
        <v>21</v>
      </c>
      <c r="K382" t="s">
        <v>47</v>
      </c>
      <c r="L382" t="s">
        <v>35</v>
      </c>
      <c r="M382" t="s">
        <v>14</v>
      </c>
    </row>
    <row r="383" spans="1:13" x14ac:dyDescent="0.3">
      <c r="A383">
        <v>81</v>
      </c>
      <c r="B383" t="s">
        <v>9</v>
      </c>
      <c r="C383" t="s">
        <v>24</v>
      </c>
      <c r="D383" t="s">
        <v>45</v>
      </c>
      <c r="E383" t="s">
        <v>16</v>
      </c>
      <c r="F383" t="s">
        <v>17</v>
      </c>
      <c r="G383" t="s">
        <v>26</v>
      </c>
      <c r="H383" t="s">
        <v>49</v>
      </c>
      <c r="I383" t="s">
        <v>20</v>
      </c>
      <c r="J383" t="s">
        <v>46</v>
      </c>
      <c r="K383" t="s">
        <v>50</v>
      </c>
      <c r="L383" t="s">
        <v>23</v>
      </c>
      <c r="M383" t="s">
        <v>24</v>
      </c>
    </row>
    <row r="384" spans="1:13" x14ac:dyDescent="0.3">
      <c r="A384">
        <v>82</v>
      </c>
      <c r="B384" t="s">
        <v>9</v>
      </c>
      <c r="C384" t="s">
        <v>14</v>
      </c>
      <c r="D384" t="s">
        <v>40</v>
      </c>
      <c r="E384" t="s">
        <v>16</v>
      </c>
      <c r="F384" t="s">
        <v>25</v>
      </c>
      <c r="G384" t="s">
        <v>18</v>
      </c>
      <c r="H384" t="s">
        <v>39</v>
      </c>
      <c r="I384" t="s">
        <v>20</v>
      </c>
      <c r="J384" t="s">
        <v>21</v>
      </c>
      <c r="K384" t="s">
        <v>47</v>
      </c>
      <c r="L384" t="s">
        <v>23</v>
      </c>
      <c r="M384" t="s">
        <v>24</v>
      </c>
    </row>
  </sheetData>
  <dataValidations count="2">
    <dataValidation type="list" allowBlank="1" showInputMessage="1" showErrorMessage="1" sqref="P3" xr:uid="{42CF70C1-D50E-44A2-98B2-E90C17F81F46}">
      <formula1>$A$1:$M$1</formula1>
    </dataValidation>
    <dataValidation type="list" allowBlank="1" showInputMessage="1" showErrorMessage="1" sqref="P4" xr:uid="{428851C6-A355-4376-B1D6-A19114ADA442}">
      <formula1>"Ascendente (A→Z),Descendente (Z→A)"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2C1EE-2ED7-4065-B396-A2ACFAD4446F}">
  <sheetPr>
    <tabColor rgb="FFFF0000"/>
  </sheetPr>
  <dimension ref="A1:R78"/>
  <sheetViews>
    <sheetView workbookViewId="0">
      <selection activeCell="Q15" sqref="Q15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2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56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14</v>
      </c>
      <c r="O2">
        <f t="shared" ref="O2:O33" si="0">IF(M2=N2,1,"")</f>
        <v>1</v>
      </c>
      <c r="Q2">
        <f>COUNT(O2:O78)</f>
        <v>72</v>
      </c>
      <c r="R2">
        <f>Q2/78*100</f>
        <v>92.307692307692307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14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14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14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14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14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14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14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14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14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14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14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14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14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14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24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14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14</v>
      </c>
      <c r="O19">
        <f t="shared" si="0"/>
        <v>1</v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14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14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14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14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24</v>
      </c>
      <c r="O24" t="str">
        <f t="shared" si="0"/>
        <v/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14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14</v>
      </c>
      <c r="O26">
        <f t="shared" si="0"/>
        <v>1</v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14</v>
      </c>
      <c r="O27">
        <f t="shared" si="0"/>
        <v>1</v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14</v>
      </c>
      <c r="O28">
        <f t="shared" si="0"/>
        <v>1</v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14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14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14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14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14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14</v>
      </c>
      <c r="O34">
        <f t="shared" ref="O34:O65" si="1">IF(M34=N34,1,"")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14</v>
      </c>
      <c r="O35">
        <f t="shared" si="1"/>
        <v>1</v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14</v>
      </c>
      <c r="O36">
        <f t="shared" si="1"/>
        <v>1</v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14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14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14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14</v>
      </c>
      <c r="O40">
        <f t="shared" si="1"/>
        <v>1</v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14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14</v>
      </c>
      <c r="O42">
        <f t="shared" si="1"/>
        <v>1</v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24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24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24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14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14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14</v>
      </c>
      <c r="O48">
        <f t="shared" si="1"/>
        <v>1</v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14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14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14</v>
      </c>
      <c r="O51">
        <f t="shared" si="1"/>
        <v>1</v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14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14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14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14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14</v>
      </c>
      <c r="O56">
        <f t="shared" si="1"/>
        <v>1</v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14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24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14</v>
      </c>
      <c r="O59">
        <f t="shared" si="1"/>
        <v>1</v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14</v>
      </c>
      <c r="O60">
        <f t="shared" si="1"/>
        <v>1</v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14</v>
      </c>
      <c r="O61">
        <f t="shared" si="1"/>
        <v>1</v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14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24</v>
      </c>
      <c r="O63" t="str">
        <f t="shared" si="1"/>
        <v/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24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24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24</v>
      </c>
      <c r="O66">
        <f t="shared" ref="O66:O78" si="2">IF(M66=N66,1,"")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24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24</v>
      </c>
      <c r="O68">
        <f t="shared" si="2"/>
        <v>1</v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24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14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14</v>
      </c>
      <c r="O71" t="str">
        <f t="shared" si="2"/>
        <v/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24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24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24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24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24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24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24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F033A-A9F6-45BD-88F7-49354E62A6AA}">
  <sheetPr>
    <tabColor rgb="FFFFC000"/>
  </sheetPr>
  <dimension ref="A1:R78"/>
  <sheetViews>
    <sheetView workbookViewId="0">
      <selection activeCell="R2" sqref="R2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20.66406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55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35</v>
      </c>
      <c r="O2">
        <f t="shared" ref="O2:O33" si="0">IF(L2=N2,1,"")</f>
        <v>1</v>
      </c>
      <c r="Q2">
        <f>COUNT(O2:O78)</f>
        <v>56</v>
      </c>
      <c r="R2">
        <f>Q2/78*100</f>
        <v>71.794871794871796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35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35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35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35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35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35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35</v>
      </c>
      <c r="O9">
        <f t="shared" si="0"/>
        <v>1</v>
      </c>
      <c r="R9" s="2"/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35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35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35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35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35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35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35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23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35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31</v>
      </c>
      <c r="O19" t="str">
        <f t="shared" si="0"/>
        <v/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35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35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35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35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35</v>
      </c>
      <c r="O24" t="str">
        <f t="shared" si="0"/>
        <v/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41</v>
      </c>
      <c r="O25" t="str">
        <f t="shared" si="0"/>
        <v/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35</v>
      </c>
      <c r="O26" t="str">
        <f t="shared" si="0"/>
        <v/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35</v>
      </c>
      <c r="O27" t="str">
        <f t="shared" si="0"/>
        <v/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35</v>
      </c>
      <c r="O28" t="str">
        <f t="shared" si="0"/>
        <v/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35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35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35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35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35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35</v>
      </c>
      <c r="O34">
        <f t="shared" ref="O34:O65" si="1">IF(L34=N34,1,"")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35</v>
      </c>
      <c r="O35" t="str">
        <f t="shared" si="1"/>
        <v/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35</v>
      </c>
      <c r="O36" t="str">
        <f t="shared" si="1"/>
        <v/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35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35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35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35</v>
      </c>
      <c r="O40" t="str">
        <f t="shared" si="1"/>
        <v/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31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35</v>
      </c>
      <c r="O42" t="str">
        <f t="shared" si="1"/>
        <v/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23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23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23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35</v>
      </c>
      <c r="O46" t="str">
        <f t="shared" si="1"/>
        <v/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35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35</v>
      </c>
      <c r="O48" t="str">
        <f t="shared" si="1"/>
        <v/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35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35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35</v>
      </c>
      <c r="O51" t="str">
        <f t="shared" si="1"/>
        <v/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35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31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35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35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35</v>
      </c>
      <c r="O56" t="str">
        <f t="shared" si="1"/>
        <v/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31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35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35</v>
      </c>
      <c r="O59" t="str">
        <f t="shared" si="1"/>
        <v/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31</v>
      </c>
      <c r="O60">
        <f t="shared" si="1"/>
        <v>1</v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35</v>
      </c>
      <c r="O61" t="str">
        <f t="shared" si="1"/>
        <v/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35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35</v>
      </c>
      <c r="O63" t="str">
        <f t="shared" si="1"/>
        <v/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23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23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23</v>
      </c>
      <c r="O66">
        <f t="shared" ref="O66:O78" si="2">IF(L66=N66,1,"")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23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23</v>
      </c>
      <c r="O68" t="str">
        <f t="shared" si="2"/>
        <v/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23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23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31</v>
      </c>
      <c r="O71" t="str">
        <f t="shared" si="2"/>
        <v/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23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23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23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23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23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23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23</v>
      </c>
      <c r="O78">
        <f t="shared" si="2"/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5583-198F-4DEA-BCE4-37C9892CA094}">
  <sheetPr>
    <tabColor rgb="FFFFFF00"/>
  </sheetPr>
  <dimension ref="A1:R78"/>
  <sheetViews>
    <sheetView topLeftCell="B1" workbookViewId="0">
      <selection activeCell="G27" sqref="G27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8.66406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55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35</v>
      </c>
      <c r="O2">
        <f t="shared" ref="O2:O33" si="0">IF(L2=N2,1,"")</f>
        <v>1</v>
      </c>
      <c r="Q2">
        <f>COUNT(O2:O78)</f>
        <v>58</v>
      </c>
      <c r="R2">
        <f>Q2/78*100</f>
        <v>74.358974358974365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35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35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35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35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35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35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35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35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35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35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35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35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35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35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23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35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35</v>
      </c>
      <c r="O19">
        <f t="shared" si="0"/>
        <v>1</v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35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35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35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35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35</v>
      </c>
      <c r="O24" t="str">
        <f t="shared" si="0"/>
        <v/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35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35</v>
      </c>
      <c r="O26" t="str">
        <f t="shared" si="0"/>
        <v/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35</v>
      </c>
      <c r="O27" t="str">
        <f t="shared" si="0"/>
        <v/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35</v>
      </c>
      <c r="O28" t="str">
        <f t="shared" si="0"/>
        <v/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35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35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35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35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35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35</v>
      </c>
      <c r="O34">
        <f t="shared" ref="O34:O65" si="1">IF(L34=N34,1,"")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35</v>
      </c>
      <c r="O35" t="str">
        <f t="shared" si="1"/>
        <v/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35</v>
      </c>
      <c r="O36" t="str">
        <f t="shared" si="1"/>
        <v/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35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35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35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35</v>
      </c>
      <c r="O40" t="str">
        <f t="shared" si="1"/>
        <v/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31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35</v>
      </c>
      <c r="O42" t="str">
        <f t="shared" si="1"/>
        <v/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23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23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23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31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35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35</v>
      </c>
      <c r="O48" t="str">
        <f t="shared" si="1"/>
        <v/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35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35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35</v>
      </c>
      <c r="O51" t="str">
        <f t="shared" si="1"/>
        <v/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35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35</v>
      </c>
      <c r="O53" t="str">
        <f t="shared" si="1"/>
        <v/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35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35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35</v>
      </c>
      <c r="O56" t="str">
        <f t="shared" si="1"/>
        <v/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35</v>
      </c>
      <c r="O57" t="str">
        <f t="shared" si="1"/>
        <v/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35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35</v>
      </c>
      <c r="O59" t="str">
        <f t="shared" si="1"/>
        <v/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35</v>
      </c>
      <c r="O60" t="str">
        <f t="shared" si="1"/>
        <v/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31</v>
      </c>
      <c r="O61">
        <f t="shared" si="1"/>
        <v>1</v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31</v>
      </c>
      <c r="O62" t="str">
        <f t="shared" si="1"/>
        <v/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31</v>
      </c>
      <c r="O63">
        <f t="shared" si="1"/>
        <v>1</v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23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23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23</v>
      </c>
      <c r="O66">
        <f t="shared" ref="O66:O78" si="2">IF(L66=N66,1,"")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23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23</v>
      </c>
      <c r="O68" t="str">
        <f t="shared" si="2"/>
        <v/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23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23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23</v>
      </c>
      <c r="O71">
        <f t="shared" si="2"/>
        <v>1</v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23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23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23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23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23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23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23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C3D1-338C-49A6-AAC1-37D01119C4BA}">
  <sheetPr>
    <tabColor rgb="FF92D050"/>
  </sheetPr>
  <dimension ref="A1:R78"/>
  <sheetViews>
    <sheetView workbookViewId="0">
      <selection activeCell="R2" sqref="R2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2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56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14</v>
      </c>
      <c r="O2">
        <f t="shared" ref="O2:O33" si="0">IF(M2=N2,1,"")</f>
        <v>1</v>
      </c>
      <c r="Q2">
        <f>COUNT(O2:O78)</f>
        <v>71</v>
      </c>
      <c r="R2">
        <f>Q2/78*100</f>
        <v>91.025641025641022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14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14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14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14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14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14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14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14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14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14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14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14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14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14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24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14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14</v>
      </c>
      <c r="O19">
        <f t="shared" si="0"/>
        <v>1</v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14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14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14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14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14</v>
      </c>
      <c r="O24">
        <f t="shared" si="0"/>
        <v>1</v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14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14</v>
      </c>
      <c r="O26">
        <f t="shared" si="0"/>
        <v>1</v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14</v>
      </c>
      <c r="O27">
        <f t="shared" si="0"/>
        <v>1</v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14</v>
      </c>
      <c r="O28">
        <f t="shared" si="0"/>
        <v>1</v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14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14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14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14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14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14</v>
      </c>
      <c r="O34">
        <f t="shared" ref="O34:O65" si="1">IF(M34=N34,1,"")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14</v>
      </c>
      <c r="O35">
        <f t="shared" si="1"/>
        <v>1</v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14</v>
      </c>
      <c r="O36">
        <f t="shared" si="1"/>
        <v>1</v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14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14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14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14</v>
      </c>
      <c r="O40">
        <f t="shared" si="1"/>
        <v>1</v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24</v>
      </c>
      <c r="O41" t="str">
        <f t="shared" si="1"/>
        <v/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14</v>
      </c>
      <c r="O42">
        <f t="shared" si="1"/>
        <v>1</v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24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24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24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14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14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14</v>
      </c>
      <c r="O48">
        <f t="shared" si="1"/>
        <v>1</v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14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14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14</v>
      </c>
      <c r="O51">
        <f t="shared" si="1"/>
        <v>1</v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14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14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14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14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14</v>
      </c>
      <c r="O56">
        <f t="shared" si="1"/>
        <v>1</v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14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24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14</v>
      </c>
      <c r="O59">
        <f t="shared" si="1"/>
        <v>1</v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24</v>
      </c>
      <c r="O60" t="str">
        <f t="shared" si="1"/>
        <v/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24</v>
      </c>
      <c r="O61" t="str">
        <f t="shared" si="1"/>
        <v/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14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24</v>
      </c>
      <c r="O63" t="str">
        <f t="shared" si="1"/>
        <v/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24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24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24</v>
      </c>
      <c r="O66">
        <f t="shared" ref="O66:O78" si="2">IF(M66=N66,1,"")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24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24</v>
      </c>
      <c r="O68">
        <f t="shared" si="2"/>
        <v>1</v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24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14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24</v>
      </c>
      <c r="O71">
        <f t="shared" si="2"/>
        <v>1</v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24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24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24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24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24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24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24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20410-0D47-4897-91BF-A1236FECB054}">
  <sheetPr>
    <tabColor rgb="FF00B050"/>
  </sheetPr>
  <dimension ref="A1:R78"/>
  <sheetViews>
    <sheetView workbookViewId="0">
      <selection activeCell="R7" sqref="R7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3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59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37</v>
      </c>
      <c r="O2">
        <f t="shared" ref="O2:O33" si="0">IF(E2=N2,1,"")</f>
        <v>1</v>
      </c>
      <c r="Q2">
        <f>COUNT(O2:O78)</f>
        <v>67</v>
      </c>
      <c r="R2">
        <f>Q2/78*100</f>
        <v>85.897435897435898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37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37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37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37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37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37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37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37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37</v>
      </c>
      <c r="O11" t="str">
        <f t="shared" si="0"/>
        <v/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16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16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16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16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16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16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16</v>
      </c>
      <c r="O18" t="str">
        <f t="shared" si="0"/>
        <v/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16</v>
      </c>
      <c r="O19" t="str">
        <f t="shared" si="0"/>
        <v/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16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16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16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16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16</v>
      </c>
      <c r="O24">
        <f t="shared" si="0"/>
        <v>1</v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16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16</v>
      </c>
      <c r="O26">
        <f t="shared" si="0"/>
        <v>1</v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16</v>
      </c>
      <c r="O27">
        <f t="shared" si="0"/>
        <v>1</v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16</v>
      </c>
      <c r="O28">
        <f t="shared" si="0"/>
        <v>1</v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16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16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16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16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16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16</v>
      </c>
      <c r="O34">
        <f t="shared" ref="O34:O65" si="1">IF(E34=N34,1,"")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16</v>
      </c>
      <c r="O35">
        <f t="shared" si="1"/>
        <v>1</v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16</v>
      </c>
      <c r="O36">
        <f t="shared" si="1"/>
        <v>1</v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16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16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16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16</v>
      </c>
      <c r="O40">
        <f t="shared" si="1"/>
        <v>1</v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16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16</v>
      </c>
      <c r="O42">
        <f t="shared" si="1"/>
        <v>1</v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16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16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16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16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16</v>
      </c>
      <c r="O47" t="str">
        <f t="shared" si="1"/>
        <v/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16</v>
      </c>
      <c r="O48" t="str">
        <f t="shared" si="1"/>
        <v/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16</v>
      </c>
      <c r="O49" t="str">
        <f t="shared" si="1"/>
        <v/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16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16</v>
      </c>
      <c r="O51">
        <f t="shared" si="1"/>
        <v>1</v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16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16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16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16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16</v>
      </c>
      <c r="O56">
        <f t="shared" si="1"/>
        <v>1</v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16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16</v>
      </c>
      <c r="O58">
        <f t="shared" si="1"/>
        <v>1</v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16</v>
      </c>
      <c r="O59">
        <f t="shared" si="1"/>
        <v>1</v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16</v>
      </c>
      <c r="O60">
        <f t="shared" si="1"/>
        <v>1</v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16</v>
      </c>
      <c r="O61">
        <f t="shared" si="1"/>
        <v>1</v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16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16</v>
      </c>
      <c r="O63">
        <f t="shared" si="1"/>
        <v>1</v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16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16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16</v>
      </c>
      <c r="O66">
        <f t="shared" ref="O66:O78" si="2">IF(E66=N66,1,"")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16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16</v>
      </c>
      <c r="O68" t="str">
        <f t="shared" si="2"/>
        <v/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16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16</v>
      </c>
      <c r="O70">
        <f t="shared" si="2"/>
        <v>1</v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16</v>
      </c>
      <c r="O71" t="str">
        <f t="shared" si="2"/>
        <v/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16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16</v>
      </c>
      <c r="O73" t="str">
        <f t="shared" si="2"/>
        <v/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16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16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16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16</v>
      </c>
      <c r="O77" t="str">
        <f t="shared" si="2"/>
        <v/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16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2E32-6493-4831-A5FF-3DA170F4A5DC}">
  <sheetPr>
    <tabColor rgb="FF00B0F0"/>
  </sheetPr>
  <dimension ref="A1:N78"/>
  <sheetViews>
    <sheetView workbookViewId="0">
      <selection activeCell="P4" sqref="P4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8.777343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90</v>
      </c>
    </row>
    <row r="2" spans="1:14" x14ac:dyDescent="0.3">
      <c r="A2">
        <v>31</v>
      </c>
      <c r="B2" t="s">
        <v>9</v>
      </c>
      <c r="C2" t="s">
        <v>14</v>
      </c>
      <c r="D2" t="s">
        <v>30</v>
      </c>
      <c r="E2" t="s">
        <v>16</v>
      </c>
      <c r="F2" t="s">
        <v>17</v>
      </c>
      <c r="G2" t="s">
        <v>18</v>
      </c>
      <c r="H2" t="s">
        <v>34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N2" t="s">
        <v>89</v>
      </c>
    </row>
    <row r="3" spans="1:14" x14ac:dyDescent="0.3">
      <c r="A3">
        <v>60</v>
      </c>
      <c r="B3" t="s">
        <v>13</v>
      </c>
      <c r="C3" t="s">
        <v>14</v>
      </c>
      <c r="D3" t="s">
        <v>30</v>
      </c>
      <c r="E3" t="s">
        <v>16</v>
      </c>
      <c r="F3" t="s">
        <v>17</v>
      </c>
      <c r="G3" t="s">
        <v>18</v>
      </c>
      <c r="H3" t="s">
        <v>27</v>
      </c>
      <c r="I3" t="s">
        <v>20</v>
      </c>
      <c r="J3" t="s">
        <v>21</v>
      </c>
      <c r="K3" t="s">
        <v>47</v>
      </c>
      <c r="L3" t="s">
        <v>23</v>
      </c>
      <c r="M3" t="s">
        <v>24</v>
      </c>
      <c r="N3" t="s">
        <v>89</v>
      </c>
    </row>
    <row r="4" spans="1:14" x14ac:dyDescent="0.3">
      <c r="A4">
        <v>62</v>
      </c>
      <c r="B4" t="s">
        <v>13</v>
      </c>
      <c r="C4" t="s">
        <v>14</v>
      </c>
      <c r="D4" t="s">
        <v>30</v>
      </c>
      <c r="E4" t="s">
        <v>16</v>
      </c>
      <c r="F4" t="s">
        <v>17</v>
      </c>
      <c r="G4" t="s">
        <v>18</v>
      </c>
      <c r="H4" t="s">
        <v>27</v>
      </c>
      <c r="I4" t="s">
        <v>20</v>
      </c>
      <c r="J4" t="s">
        <v>21</v>
      </c>
      <c r="K4" t="s">
        <v>47</v>
      </c>
      <c r="L4" t="s">
        <v>23</v>
      </c>
      <c r="M4" t="s">
        <v>24</v>
      </c>
      <c r="N4" t="s">
        <v>89</v>
      </c>
    </row>
    <row r="5" spans="1:14" x14ac:dyDescent="0.3">
      <c r="A5">
        <v>34</v>
      </c>
      <c r="B5" t="s">
        <v>13</v>
      </c>
      <c r="C5" t="s">
        <v>14</v>
      </c>
      <c r="D5" t="s">
        <v>15</v>
      </c>
      <c r="E5" t="s">
        <v>16</v>
      </c>
      <c r="F5" t="s">
        <v>25</v>
      </c>
      <c r="G5" t="s">
        <v>18</v>
      </c>
      <c r="H5" t="s">
        <v>19</v>
      </c>
      <c r="I5" t="s">
        <v>20</v>
      </c>
      <c r="J5" t="s">
        <v>21</v>
      </c>
      <c r="K5" t="s">
        <v>22</v>
      </c>
      <c r="L5" t="s">
        <v>31</v>
      </c>
      <c r="M5" t="s">
        <v>14</v>
      </c>
      <c r="N5" t="s">
        <v>89</v>
      </c>
    </row>
    <row r="6" spans="1:14" x14ac:dyDescent="0.3">
      <c r="A6">
        <v>55</v>
      </c>
      <c r="B6" t="s">
        <v>9</v>
      </c>
      <c r="C6" t="s">
        <v>14</v>
      </c>
      <c r="D6" t="s">
        <v>14</v>
      </c>
      <c r="E6" t="s">
        <v>16</v>
      </c>
      <c r="F6" t="s">
        <v>17</v>
      </c>
      <c r="G6" t="s">
        <v>18</v>
      </c>
      <c r="H6" t="s">
        <v>19</v>
      </c>
      <c r="I6" t="s">
        <v>28</v>
      </c>
      <c r="J6" t="s">
        <v>21</v>
      </c>
      <c r="K6" t="s">
        <v>47</v>
      </c>
      <c r="L6" t="s">
        <v>31</v>
      </c>
      <c r="M6" t="s">
        <v>14</v>
      </c>
      <c r="N6" t="s">
        <v>89</v>
      </c>
    </row>
    <row r="7" spans="1:14" x14ac:dyDescent="0.3">
      <c r="A7">
        <v>46</v>
      </c>
      <c r="B7" t="s">
        <v>13</v>
      </c>
      <c r="C7" t="s">
        <v>14</v>
      </c>
      <c r="D7" t="s">
        <v>15</v>
      </c>
      <c r="E7" t="s">
        <v>16</v>
      </c>
      <c r="F7" t="s">
        <v>17</v>
      </c>
      <c r="G7" t="s">
        <v>18</v>
      </c>
      <c r="H7" t="s">
        <v>19</v>
      </c>
      <c r="I7" t="s">
        <v>20</v>
      </c>
      <c r="J7" t="s">
        <v>21</v>
      </c>
      <c r="K7" t="s">
        <v>22</v>
      </c>
      <c r="L7" t="s">
        <v>31</v>
      </c>
      <c r="M7" t="s">
        <v>14</v>
      </c>
      <c r="N7" t="s">
        <v>89</v>
      </c>
    </row>
    <row r="8" spans="1:14" x14ac:dyDescent="0.3">
      <c r="A8">
        <v>42</v>
      </c>
      <c r="B8" t="s">
        <v>9</v>
      </c>
      <c r="C8" t="s">
        <v>14</v>
      </c>
      <c r="D8" t="s">
        <v>14</v>
      </c>
      <c r="E8" t="s">
        <v>16</v>
      </c>
      <c r="F8" t="s">
        <v>17</v>
      </c>
      <c r="G8" t="s">
        <v>18</v>
      </c>
      <c r="H8" t="s">
        <v>19</v>
      </c>
      <c r="I8" t="s">
        <v>36</v>
      </c>
      <c r="J8" t="s">
        <v>21</v>
      </c>
      <c r="K8" t="s">
        <v>22</v>
      </c>
      <c r="L8" t="s">
        <v>31</v>
      </c>
      <c r="M8" t="s">
        <v>14</v>
      </c>
      <c r="N8" t="s">
        <v>89</v>
      </c>
    </row>
    <row r="9" spans="1:14" x14ac:dyDescent="0.3">
      <c r="A9">
        <v>30</v>
      </c>
      <c r="B9" t="s">
        <v>13</v>
      </c>
      <c r="C9" t="s">
        <v>14</v>
      </c>
      <c r="D9" t="s">
        <v>30</v>
      </c>
      <c r="E9" t="s">
        <v>16</v>
      </c>
      <c r="F9" t="s">
        <v>25</v>
      </c>
      <c r="G9" t="s">
        <v>18</v>
      </c>
      <c r="H9" t="s">
        <v>19</v>
      </c>
      <c r="I9" t="s">
        <v>20</v>
      </c>
      <c r="J9" t="s">
        <v>21</v>
      </c>
      <c r="K9" t="s">
        <v>22</v>
      </c>
      <c r="L9" t="s">
        <v>23</v>
      </c>
      <c r="M9" t="s">
        <v>24</v>
      </c>
      <c r="N9" t="s">
        <v>89</v>
      </c>
    </row>
    <row r="10" spans="1:14" x14ac:dyDescent="0.3">
      <c r="A10">
        <v>40</v>
      </c>
      <c r="B10" t="s">
        <v>13</v>
      </c>
      <c r="C10" t="s">
        <v>14</v>
      </c>
      <c r="D10" t="s">
        <v>30</v>
      </c>
      <c r="E10" t="s">
        <v>16</v>
      </c>
      <c r="F10" t="s">
        <v>17</v>
      </c>
      <c r="G10" t="s">
        <v>18</v>
      </c>
      <c r="H10" t="s">
        <v>19</v>
      </c>
      <c r="I10" t="s">
        <v>20</v>
      </c>
      <c r="J10" t="s">
        <v>21</v>
      </c>
      <c r="K10" t="s">
        <v>22</v>
      </c>
      <c r="L10" t="s">
        <v>23</v>
      </c>
      <c r="M10" t="s">
        <v>24</v>
      </c>
      <c r="N10" t="s">
        <v>89</v>
      </c>
    </row>
    <row r="11" spans="1:14" x14ac:dyDescent="0.3">
      <c r="A11">
        <v>49</v>
      </c>
      <c r="B11" t="s">
        <v>13</v>
      </c>
      <c r="C11" t="s">
        <v>14</v>
      </c>
      <c r="D11" t="s">
        <v>30</v>
      </c>
      <c r="E11" t="s">
        <v>16</v>
      </c>
      <c r="F11" t="s">
        <v>25</v>
      </c>
      <c r="G11" t="s">
        <v>18</v>
      </c>
      <c r="H11" t="s">
        <v>19</v>
      </c>
      <c r="I11" t="s">
        <v>20</v>
      </c>
      <c r="J11" t="s">
        <v>21</v>
      </c>
      <c r="K11" t="s">
        <v>22</v>
      </c>
      <c r="L11" t="s">
        <v>23</v>
      </c>
      <c r="M11" t="s">
        <v>24</v>
      </c>
      <c r="N11" t="s">
        <v>89</v>
      </c>
    </row>
    <row r="12" spans="1:14" x14ac:dyDescent="0.3">
      <c r="A12">
        <v>60</v>
      </c>
      <c r="B12" t="s">
        <v>9</v>
      </c>
      <c r="C12" t="s">
        <v>14</v>
      </c>
      <c r="D12" t="s">
        <v>15</v>
      </c>
      <c r="E12" t="s">
        <v>16</v>
      </c>
      <c r="F12" t="s">
        <v>17</v>
      </c>
      <c r="G12" t="s">
        <v>18</v>
      </c>
      <c r="H12" t="s">
        <v>19</v>
      </c>
      <c r="I12" t="s">
        <v>20</v>
      </c>
      <c r="J12" t="s">
        <v>21</v>
      </c>
      <c r="K12" t="s">
        <v>47</v>
      </c>
      <c r="L12" t="s">
        <v>23</v>
      </c>
      <c r="M12" t="s">
        <v>24</v>
      </c>
      <c r="N12" t="s">
        <v>89</v>
      </c>
    </row>
    <row r="13" spans="1:14" x14ac:dyDescent="0.3">
      <c r="A13">
        <v>52</v>
      </c>
      <c r="B13" t="s">
        <v>9</v>
      </c>
      <c r="C13" t="s">
        <v>14</v>
      </c>
      <c r="D13" t="s">
        <v>30</v>
      </c>
      <c r="E13" t="s">
        <v>42</v>
      </c>
      <c r="F13" t="s">
        <v>17</v>
      </c>
      <c r="G13" t="s">
        <v>18</v>
      </c>
      <c r="H13" t="s">
        <v>19</v>
      </c>
      <c r="I13" t="s">
        <v>28</v>
      </c>
      <c r="J13" t="s">
        <v>21</v>
      </c>
      <c r="K13" t="s">
        <v>22</v>
      </c>
      <c r="L13" t="s">
        <v>41</v>
      </c>
      <c r="M13" t="s">
        <v>24</v>
      </c>
      <c r="N13" t="s">
        <v>89</v>
      </c>
    </row>
    <row r="14" spans="1:14" x14ac:dyDescent="0.3">
      <c r="A14">
        <v>44</v>
      </c>
      <c r="B14" t="s">
        <v>9</v>
      </c>
      <c r="C14" t="s">
        <v>14</v>
      </c>
      <c r="D14" t="s">
        <v>30</v>
      </c>
      <c r="E14" t="s">
        <v>16</v>
      </c>
      <c r="F14" t="s">
        <v>17</v>
      </c>
      <c r="G14" t="s">
        <v>26</v>
      </c>
      <c r="H14" t="s">
        <v>19</v>
      </c>
      <c r="I14" t="s">
        <v>20</v>
      </c>
      <c r="J14" t="s">
        <v>46</v>
      </c>
      <c r="K14" t="s">
        <v>47</v>
      </c>
      <c r="L14" t="s">
        <v>23</v>
      </c>
      <c r="M14" t="s">
        <v>24</v>
      </c>
      <c r="N14" t="s">
        <v>89</v>
      </c>
    </row>
    <row r="15" spans="1:14" x14ac:dyDescent="0.3">
      <c r="A15">
        <v>59</v>
      </c>
      <c r="B15" t="s">
        <v>9</v>
      </c>
      <c r="C15" t="s">
        <v>14</v>
      </c>
      <c r="D15" t="s">
        <v>14</v>
      </c>
      <c r="E15" t="s">
        <v>43</v>
      </c>
      <c r="F15" t="s">
        <v>17</v>
      </c>
      <c r="G15" t="s">
        <v>18</v>
      </c>
      <c r="H15" t="s">
        <v>39</v>
      </c>
      <c r="I15" t="s">
        <v>28</v>
      </c>
      <c r="J15" t="s">
        <v>21</v>
      </c>
      <c r="K15" t="s">
        <v>22</v>
      </c>
      <c r="L15" t="s">
        <v>23</v>
      </c>
      <c r="M15" t="s">
        <v>24</v>
      </c>
      <c r="N15" t="s">
        <v>89</v>
      </c>
    </row>
    <row r="16" spans="1:14" x14ac:dyDescent="0.3">
      <c r="A16">
        <v>54</v>
      </c>
      <c r="B16" t="s">
        <v>9</v>
      </c>
      <c r="C16" t="s">
        <v>14</v>
      </c>
      <c r="D16" t="s">
        <v>30</v>
      </c>
      <c r="E16" t="s">
        <v>43</v>
      </c>
      <c r="F16" t="s">
        <v>17</v>
      </c>
      <c r="G16" t="s">
        <v>18</v>
      </c>
      <c r="H16" t="s">
        <v>44</v>
      </c>
      <c r="I16" t="s">
        <v>20</v>
      </c>
      <c r="J16" t="s">
        <v>21</v>
      </c>
      <c r="K16" t="s">
        <v>47</v>
      </c>
      <c r="L16" t="s">
        <v>23</v>
      </c>
      <c r="M16" t="s">
        <v>24</v>
      </c>
      <c r="N16" t="s">
        <v>89</v>
      </c>
    </row>
    <row r="17" spans="1:14" x14ac:dyDescent="0.3">
      <c r="A17">
        <v>53</v>
      </c>
      <c r="B17" t="s">
        <v>13</v>
      </c>
      <c r="C17" t="s">
        <v>14</v>
      </c>
      <c r="D17" t="s">
        <v>30</v>
      </c>
      <c r="E17" t="s">
        <v>16</v>
      </c>
      <c r="F17" t="s">
        <v>25</v>
      </c>
      <c r="G17" t="s">
        <v>26</v>
      </c>
      <c r="H17" t="s">
        <v>44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89</v>
      </c>
    </row>
    <row r="18" spans="1:14" x14ac:dyDescent="0.3">
      <c r="A18">
        <v>35</v>
      </c>
      <c r="B18" t="s">
        <v>13</v>
      </c>
      <c r="C18" t="s">
        <v>14</v>
      </c>
      <c r="D18" t="s">
        <v>45</v>
      </c>
      <c r="E18" t="s">
        <v>16</v>
      </c>
      <c r="F18" t="s">
        <v>17</v>
      </c>
      <c r="G18" t="s">
        <v>26</v>
      </c>
      <c r="H18" t="s">
        <v>44</v>
      </c>
      <c r="I18" t="s">
        <v>20</v>
      </c>
      <c r="J18" t="s">
        <v>21</v>
      </c>
      <c r="K18" t="s">
        <v>22</v>
      </c>
      <c r="L18" t="s">
        <v>23</v>
      </c>
      <c r="M18" t="s">
        <v>24</v>
      </c>
      <c r="N18" t="s">
        <v>89</v>
      </c>
    </row>
    <row r="19" spans="1:14" x14ac:dyDescent="0.3">
      <c r="A19">
        <v>34</v>
      </c>
      <c r="B19" t="s">
        <v>13</v>
      </c>
      <c r="C19" t="s">
        <v>14</v>
      </c>
      <c r="D19" t="s">
        <v>30</v>
      </c>
      <c r="E19" t="s">
        <v>16</v>
      </c>
      <c r="F19" t="s">
        <v>25</v>
      </c>
      <c r="G19" t="s">
        <v>26</v>
      </c>
      <c r="H19" t="s">
        <v>44</v>
      </c>
      <c r="I19" t="s">
        <v>20</v>
      </c>
      <c r="J19" t="s">
        <v>21</v>
      </c>
      <c r="K19" t="s">
        <v>22</v>
      </c>
      <c r="L19" t="s">
        <v>23</v>
      </c>
      <c r="M19" t="s">
        <v>24</v>
      </c>
      <c r="N19" t="s">
        <v>89</v>
      </c>
    </row>
    <row r="20" spans="1:14" x14ac:dyDescent="0.3">
      <c r="A20">
        <v>64</v>
      </c>
      <c r="B20" t="s">
        <v>13</v>
      </c>
      <c r="C20" t="s">
        <v>14</v>
      </c>
      <c r="D20" t="s">
        <v>14</v>
      </c>
      <c r="E20" t="s">
        <v>42</v>
      </c>
      <c r="F20" t="s">
        <v>17</v>
      </c>
      <c r="G20" t="s">
        <v>26</v>
      </c>
      <c r="H20" t="s">
        <v>44</v>
      </c>
      <c r="I20" t="s">
        <v>28</v>
      </c>
      <c r="J20" t="s">
        <v>46</v>
      </c>
      <c r="K20" t="s">
        <v>50</v>
      </c>
      <c r="L20" t="s">
        <v>23</v>
      </c>
      <c r="M20" t="s">
        <v>24</v>
      </c>
      <c r="N20" t="s">
        <v>89</v>
      </c>
    </row>
    <row r="21" spans="1:14" x14ac:dyDescent="0.3">
      <c r="A21">
        <v>71</v>
      </c>
      <c r="B21" t="s">
        <v>9</v>
      </c>
      <c r="C21" t="s">
        <v>14</v>
      </c>
      <c r="D21" t="s">
        <v>15</v>
      </c>
      <c r="E21" t="s">
        <v>16</v>
      </c>
      <c r="F21" t="s">
        <v>17</v>
      </c>
      <c r="G21" t="s">
        <v>26</v>
      </c>
      <c r="H21" t="s">
        <v>44</v>
      </c>
      <c r="I21" t="s">
        <v>20</v>
      </c>
      <c r="J21" t="s">
        <v>21</v>
      </c>
      <c r="K21" t="s">
        <v>52</v>
      </c>
      <c r="L21" t="s">
        <v>23</v>
      </c>
      <c r="M21" t="s">
        <v>24</v>
      </c>
      <c r="N21" t="s">
        <v>89</v>
      </c>
    </row>
    <row r="22" spans="1:14" x14ac:dyDescent="0.3">
      <c r="A22">
        <v>62</v>
      </c>
      <c r="B22" t="s">
        <v>13</v>
      </c>
      <c r="C22" t="s">
        <v>14</v>
      </c>
      <c r="D22" t="s">
        <v>14</v>
      </c>
      <c r="E22" t="s">
        <v>37</v>
      </c>
      <c r="F22" t="s">
        <v>25</v>
      </c>
      <c r="G22" t="s">
        <v>33</v>
      </c>
      <c r="H22" t="s">
        <v>38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88</v>
      </c>
    </row>
    <row r="23" spans="1:14" x14ac:dyDescent="0.3">
      <c r="A23">
        <v>50</v>
      </c>
      <c r="B23" t="s">
        <v>13</v>
      </c>
      <c r="C23" t="s">
        <v>14</v>
      </c>
      <c r="D23" t="s">
        <v>14</v>
      </c>
      <c r="E23" t="s">
        <v>37</v>
      </c>
      <c r="F23" t="s">
        <v>25</v>
      </c>
      <c r="G23" t="s">
        <v>33</v>
      </c>
      <c r="H23" t="s">
        <v>38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88</v>
      </c>
    </row>
    <row r="24" spans="1:14" x14ac:dyDescent="0.3">
      <c r="A24">
        <v>43</v>
      </c>
      <c r="B24" t="s">
        <v>13</v>
      </c>
      <c r="C24" t="s">
        <v>14</v>
      </c>
      <c r="D24" t="s">
        <v>14</v>
      </c>
      <c r="E24" t="s">
        <v>37</v>
      </c>
      <c r="F24" t="s">
        <v>25</v>
      </c>
      <c r="G24" t="s">
        <v>33</v>
      </c>
      <c r="H24" t="s">
        <v>38</v>
      </c>
      <c r="I24" t="s">
        <v>28</v>
      </c>
      <c r="J24" t="s">
        <v>21</v>
      </c>
      <c r="K24" t="s">
        <v>22</v>
      </c>
      <c r="L24" t="s">
        <v>35</v>
      </c>
      <c r="M24" t="s">
        <v>14</v>
      </c>
      <c r="N24" t="s">
        <v>88</v>
      </c>
    </row>
    <row r="25" spans="1:14" x14ac:dyDescent="0.3">
      <c r="A25">
        <v>36</v>
      </c>
      <c r="B25" t="s">
        <v>13</v>
      </c>
      <c r="C25" t="s">
        <v>14</v>
      </c>
      <c r="D25" t="s">
        <v>14</v>
      </c>
      <c r="E25" t="s">
        <v>37</v>
      </c>
      <c r="F25" t="s">
        <v>25</v>
      </c>
      <c r="G25" t="s">
        <v>33</v>
      </c>
      <c r="H25" t="s">
        <v>38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88</v>
      </c>
    </row>
    <row r="26" spans="1:14" x14ac:dyDescent="0.3">
      <c r="A26">
        <v>43</v>
      </c>
      <c r="B26" t="s">
        <v>9</v>
      </c>
      <c r="C26" t="s">
        <v>14</v>
      </c>
      <c r="D26" t="s">
        <v>14</v>
      </c>
      <c r="E26" t="s">
        <v>37</v>
      </c>
      <c r="F26" t="s">
        <v>25</v>
      </c>
      <c r="G26" t="s">
        <v>33</v>
      </c>
      <c r="H26" t="s">
        <v>38</v>
      </c>
      <c r="I26" t="s">
        <v>28</v>
      </c>
      <c r="J26" t="s">
        <v>21</v>
      </c>
      <c r="K26" t="s">
        <v>22</v>
      </c>
      <c r="L26" t="s">
        <v>35</v>
      </c>
      <c r="M26" t="s">
        <v>14</v>
      </c>
      <c r="N26" t="s">
        <v>88</v>
      </c>
    </row>
    <row r="27" spans="1:14" x14ac:dyDescent="0.3">
      <c r="A27">
        <v>36</v>
      </c>
      <c r="B27" t="s">
        <v>13</v>
      </c>
      <c r="C27" t="s">
        <v>14</v>
      </c>
      <c r="D27" t="s">
        <v>14</v>
      </c>
      <c r="E27" t="s">
        <v>37</v>
      </c>
      <c r="F27" t="s">
        <v>25</v>
      </c>
      <c r="G27" t="s">
        <v>33</v>
      </c>
      <c r="H27" t="s">
        <v>38</v>
      </c>
      <c r="I27" t="s">
        <v>28</v>
      </c>
      <c r="J27" t="s">
        <v>21</v>
      </c>
      <c r="K27" t="s">
        <v>22</v>
      </c>
      <c r="L27" t="s">
        <v>35</v>
      </c>
      <c r="M27" t="s">
        <v>14</v>
      </c>
      <c r="N27" t="s">
        <v>88</v>
      </c>
    </row>
    <row r="28" spans="1:14" x14ac:dyDescent="0.3">
      <c r="A28">
        <v>37</v>
      </c>
      <c r="B28" t="s">
        <v>13</v>
      </c>
      <c r="C28" t="s">
        <v>14</v>
      </c>
      <c r="D28" t="s">
        <v>14</v>
      </c>
      <c r="E28" t="s">
        <v>37</v>
      </c>
      <c r="F28" t="s">
        <v>25</v>
      </c>
      <c r="G28" t="s">
        <v>33</v>
      </c>
      <c r="H28" t="s">
        <v>38</v>
      </c>
      <c r="I28" t="s">
        <v>28</v>
      </c>
      <c r="J28" t="s">
        <v>21</v>
      </c>
      <c r="K28" t="s">
        <v>22</v>
      </c>
      <c r="L28" t="s">
        <v>35</v>
      </c>
      <c r="M28" t="s">
        <v>14</v>
      </c>
      <c r="N28" t="s">
        <v>88</v>
      </c>
    </row>
    <row r="29" spans="1:14" x14ac:dyDescent="0.3">
      <c r="A29">
        <v>34</v>
      </c>
      <c r="B29" t="s">
        <v>13</v>
      </c>
      <c r="C29" t="s">
        <v>14</v>
      </c>
      <c r="D29" t="s">
        <v>14</v>
      </c>
      <c r="E29" t="s">
        <v>37</v>
      </c>
      <c r="F29" t="s">
        <v>25</v>
      </c>
      <c r="G29" t="s">
        <v>33</v>
      </c>
      <c r="H29" t="s">
        <v>38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88</v>
      </c>
    </row>
    <row r="30" spans="1:14" x14ac:dyDescent="0.3">
      <c r="A30">
        <v>33</v>
      </c>
      <c r="B30" t="s">
        <v>13</v>
      </c>
      <c r="C30" t="s">
        <v>14</v>
      </c>
      <c r="D30" t="s">
        <v>14</v>
      </c>
      <c r="E30" t="s">
        <v>37</v>
      </c>
      <c r="F30" t="s">
        <v>25</v>
      </c>
      <c r="G30" t="s">
        <v>33</v>
      </c>
      <c r="H30" t="s">
        <v>38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88</v>
      </c>
    </row>
    <row r="31" spans="1:14" x14ac:dyDescent="0.3">
      <c r="A31">
        <v>31</v>
      </c>
      <c r="B31" t="s">
        <v>13</v>
      </c>
      <c r="C31" t="s">
        <v>14</v>
      </c>
      <c r="D31" t="s">
        <v>30</v>
      </c>
      <c r="E31" t="s">
        <v>16</v>
      </c>
      <c r="F31" t="s">
        <v>17</v>
      </c>
      <c r="G31" t="s">
        <v>18</v>
      </c>
      <c r="H31" t="s">
        <v>38</v>
      </c>
      <c r="I31" t="s">
        <v>20</v>
      </c>
      <c r="J31" t="s">
        <v>21</v>
      </c>
      <c r="K31" t="s">
        <v>22</v>
      </c>
      <c r="L31" t="s">
        <v>35</v>
      </c>
      <c r="M31" t="s">
        <v>14</v>
      </c>
      <c r="N31" t="s">
        <v>88</v>
      </c>
    </row>
    <row r="32" spans="1:14" x14ac:dyDescent="0.3">
      <c r="A32">
        <v>25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34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88</v>
      </c>
    </row>
    <row r="33" spans="1:14" x14ac:dyDescent="0.3">
      <c r="A33">
        <v>54</v>
      </c>
      <c r="B33" t="s">
        <v>13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34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88</v>
      </c>
    </row>
    <row r="34" spans="1:14" x14ac:dyDescent="0.3">
      <c r="A34">
        <v>38</v>
      </c>
      <c r="B34" t="s">
        <v>13</v>
      </c>
      <c r="C34" t="s">
        <v>14</v>
      </c>
      <c r="D34" t="s">
        <v>14</v>
      </c>
      <c r="E34" t="s">
        <v>16</v>
      </c>
      <c r="F34" t="s">
        <v>17</v>
      </c>
      <c r="G34" t="s">
        <v>33</v>
      </c>
      <c r="H34" t="s">
        <v>34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88</v>
      </c>
    </row>
    <row r="35" spans="1:14" x14ac:dyDescent="0.3">
      <c r="A35">
        <v>51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34</v>
      </c>
      <c r="I35" t="s">
        <v>28</v>
      </c>
      <c r="J35" t="s">
        <v>21</v>
      </c>
      <c r="K35" t="s">
        <v>22</v>
      </c>
      <c r="L35" t="s">
        <v>35</v>
      </c>
      <c r="M35" t="s">
        <v>14</v>
      </c>
      <c r="N35" t="s">
        <v>88</v>
      </c>
    </row>
    <row r="36" spans="1:14" x14ac:dyDescent="0.3">
      <c r="A36">
        <v>29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34</v>
      </c>
      <c r="I36" t="s">
        <v>28</v>
      </c>
      <c r="J36" t="s">
        <v>21</v>
      </c>
      <c r="K36" t="s">
        <v>22</v>
      </c>
      <c r="L36" t="s">
        <v>35</v>
      </c>
      <c r="M36" t="s">
        <v>14</v>
      </c>
      <c r="N36" t="s">
        <v>88</v>
      </c>
    </row>
    <row r="37" spans="1:14" x14ac:dyDescent="0.3">
      <c r="A37">
        <v>37</v>
      </c>
      <c r="B37" t="s">
        <v>13</v>
      </c>
      <c r="C37" t="s">
        <v>14</v>
      </c>
      <c r="D37" t="s">
        <v>14</v>
      </c>
      <c r="E37" t="s">
        <v>43</v>
      </c>
      <c r="F37" t="s">
        <v>17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88</v>
      </c>
    </row>
    <row r="38" spans="1:14" x14ac:dyDescent="0.3">
      <c r="A38">
        <v>26</v>
      </c>
      <c r="B38" t="s">
        <v>13</v>
      </c>
      <c r="C38" t="s">
        <v>14</v>
      </c>
      <c r="D38" t="s">
        <v>14</v>
      </c>
      <c r="E38" t="s">
        <v>43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88</v>
      </c>
    </row>
    <row r="39" spans="1:14" x14ac:dyDescent="0.3">
      <c r="A39">
        <v>31</v>
      </c>
      <c r="B39" t="s">
        <v>13</v>
      </c>
      <c r="C39" t="s">
        <v>14</v>
      </c>
      <c r="D39" t="s">
        <v>14</v>
      </c>
      <c r="E39" t="s">
        <v>16</v>
      </c>
      <c r="F39" t="s">
        <v>25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88</v>
      </c>
    </row>
    <row r="40" spans="1:14" x14ac:dyDescent="0.3">
      <c r="A40">
        <v>66</v>
      </c>
      <c r="B40" t="s">
        <v>13</v>
      </c>
      <c r="C40" t="s">
        <v>14</v>
      </c>
      <c r="D40" t="s">
        <v>14</v>
      </c>
      <c r="E40" t="s">
        <v>16</v>
      </c>
      <c r="F40" t="s">
        <v>25</v>
      </c>
      <c r="G40" t="s">
        <v>33</v>
      </c>
      <c r="H40" t="s">
        <v>27</v>
      </c>
      <c r="I40" t="s">
        <v>28</v>
      </c>
      <c r="J40" t="s">
        <v>21</v>
      </c>
      <c r="K40" t="s">
        <v>22</v>
      </c>
      <c r="L40" t="s">
        <v>35</v>
      </c>
      <c r="M40" t="s">
        <v>14</v>
      </c>
      <c r="N40" t="s">
        <v>88</v>
      </c>
    </row>
    <row r="41" spans="1:14" x14ac:dyDescent="0.3">
      <c r="A41">
        <v>47</v>
      </c>
      <c r="B41" t="s">
        <v>13</v>
      </c>
      <c r="C41" t="s">
        <v>14</v>
      </c>
      <c r="D41" t="s">
        <v>14</v>
      </c>
      <c r="E41" t="s">
        <v>16</v>
      </c>
      <c r="F41" t="s">
        <v>25</v>
      </c>
      <c r="G41" t="s">
        <v>33</v>
      </c>
      <c r="H41" t="s">
        <v>27</v>
      </c>
      <c r="I41" t="s">
        <v>28</v>
      </c>
      <c r="J41" t="s">
        <v>21</v>
      </c>
      <c r="K41" t="s">
        <v>22</v>
      </c>
      <c r="L41" t="s">
        <v>35</v>
      </c>
      <c r="M41" t="s">
        <v>14</v>
      </c>
      <c r="N41" t="s">
        <v>88</v>
      </c>
    </row>
    <row r="42" spans="1:14" x14ac:dyDescent="0.3">
      <c r="A42">
        <v>27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35</v>
      </c>
      <c r="M42" t="s">
        <v>14</v>
      </c>
      <c r="N42" t="s">
        <v>88</v>
      </c>
    </row>
    <row r="43" spans="1:14" x14ac:dyDescent="0.3">
      <c r="A43">
        <v>56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33</v>
      </c>
      <c r="H43" t="s">
        <v>27</v>
      </c>
      <c r="I43" t="s">
        <v>28</v>
      </c>
      <c r="J43" t="s">
        <v>21</v>
      </c>
      <c r="K43" t="s">
        <v>22</v>
      </c>
      <c r="L43" t="s">
        <v>41</v>
      </c>
      <c r="M43" t="s">
        <v>14</v>
      </c>
      <c r="N43" t="s">
        <v>88</v>
      </c>
    </row>
    <row r="44" spans="1:14" x14ac:dyDescent="0.3">
      <c r="A44">
        <v>63</v>
      </c>
      <c r="B44" t="s">
        <v>13</v>
      </c>
      <c r="C44" t="s">
        <v>14</v>
      </c>
      <c r="D44" t="s">
        <v>14</v>
      </c>
      <c r="E44" t="s">
        <v>16</v>
      </c>
      <c r="F44" t="s">
        <v>25</v>
      </c>
      <c r="G44" t="s">
        <v>33</v>
      </c>
      <c r="H44" t="s">
        <v>27</v>
      </c>
      <c r="I44" t="s">
        <v>28</v>
      </c>
      <c r="J44" t="s">
        <v>21</v>
      </c>
      <c r="K44" t="s">
        <v>22</v>
      </c>
      <c r="L44" t="s">
        <v>35</v>
      </c>
      <c r="M44" t="s">
        <v>14</v>
      </c>
      <c r="N44" t="s">
        <v>88</v>
      </c>
    </row>
    <row r="45" spans="1:14" x14ac:dyDescent="0.3">
      <c r="A45">
        <v>24</v>
      </c>
      <c r="B45" t="s">
        <v>13</v>
      </c>
      <c r="C45" t="s">
        <v>14</v>
      </c>
      <c r="D45" t="s">
        <v>14</v>
      </c>
      <c r="E45" t="s">
        <v>16</v>
      </c>
      <c r="F45" t="s">
        <v>25</v>
      </c>
      <c r="G45" t="s">
        <v>33</v>
      </c>
      <c r="H45" t="s">
        <v>27</v>
      </c>
      <c r="I45" t="s">
        <v>28</v>
      </c>
      <c r="J45" t="s">
        <v>21</v>
      </c>
      <c r="K45" t="s">
        <v>22</v>
      </c>
      <c r="L45" t="s">
        <v>41</v>
      </c>
      <c r="M45" t="s">
        <v>14</v>
      </c>
      <c r="N45" t="s">
        <v>88</v>
      </c>
    </row>
    <row r="46" spans="1:14" x14ac:dyDescent="0.3">
      <c r="A46">
        <v>42</v>
      </c>
      <c r="B46" t="s">
        <v>13</v>
      </c>
      <c r="C46" t="s">
        <v>14</v>
      </c>
      <c r="D46" t="s">
        <v>14</v>
      </c>
      <c r="E46" t="s">
        <v>16</v>
      </c>
      <c r="F46" t="s">
        <v>25</v>
      </c>
      <c r="G46" t="s">
        <v>33</v>
      </c>
      <c r="H46" t="s">
        <v>27</v>
      </c>
      <c r="I46" t="s">
        <v>28</v>
      </c>
      <c r="J46" t="s">
        <v>21</v>
      </c>
      <c r="K46" t="s">
        <v>22</v>
      </c>
      <c r="L46" t="s">
        <v>41</v>
      </c>
      <c r="M46" t="s">
        <v>14</v>
      </c>
      <c r="N46" t="s">
        <v>88</v>
      </c>
    </row>
    <row r="47" spans="1:14" x14ac:dyDescent="0.3">
      <c r="A47">
        <v>25</v>
      </c>
      <c r="B47" t="s">
        <v>13</v>
      </c>
      <c r="C47" t="s">
        <v>14</v>
      </c>
      <c r="D47" t="s">
        <v>14</v>
      </c>
      <c r="E47" t="s">
        <v>16</v>
      </c>
      <c r="F47" t="s">
        <v>25</v>
      </c>
      <c r="G47" t="s">
        <v>33</v>
      </c>
      <c r="H47" t="s">
        <v>27</v>
      </c>
      <c r="I47" t="s">
        <v>28</v>
      </c>
      <c r="J47" t="s">
        <v>21</v>
      </c>
      <c r="K47" t="s">
        <v>22</v>
      </c>
      <c r="L47" t="s">
        <v>31</v>
      </c>
      <c r="M47" t="s">
        <v>14</v>
      </c>
      <c r="N47" t="s">
        <v>88</v>
      </c>
    </row>
    <row r="48" spans="1:14" x14ac:dyDescent="0.3">
      <c r="A48">
        <v>33</v>
      </c>
      <c r="B48" t="s">
        <v>13</v>
      </c>
      <c r="C48" t="s">
        <v>14</v>
      </c>
      <c r="D48" t="s">
        <v>14</v>
      </c>
      <c r="E48" t="s">
        <v>16</v>
      </c>
      <c r="F48" t="s">
        <v>25</v>
      </c>
      <c r="G48" t="s">
        <v>33</v>
      </c>
      <c r="H48" t="s">
        <v>27</v>
      </c>
      <c r="I48" t="s">
        <v>28</v>
      </c>
      <c r="J48" t="s">
        <v>21</v>
      </c>
      <c r="K48" t="s">
        <v>22</v>
      </c>
      <c r="L48" t="s">
        <v>35</v>
      </c>
      <c r="M48" t="s">
        <v>14</v>
      </c>
      <c r="N48" t="s">
        <v>88</v>
      </c>
    </row>
    <row r="49" spans="1:14" x14ac:dyDescent="0.3">
      <c r="A49">
        <v>24</v>
      </c>
      <c r="B49" t="s">
        <v>13</v>
      </c>
      <c r="C49" t="s">
        <v>14</v>
      </c>
      <c r="D49" t="s">
        <v>14</v>
      </c>
      <c r="E49" t="s">
        <v>16</v>
      </c>
      <c r="F49" t="s">
        <v>25</v>
      </c>
      <c r="G49" t="s">
        <v>33</v>
      </c>
      <c r="H49" t="s">
        <v>27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88</v>
      </c>
    </row>
    <row r="50" spans="1:14" x14ac:dyDescent="0.3">
      <c r="A50">
        <v>28</v>
      </c>
      <c r="B50" t="s">
        <v>13</v>
      </c>
      <c r="C50" t="s">
        <v>14</v>
      </c>
      <c r="D50" t="s">
        <v>14</v>
      </c>
      <c r="E50" t="s">
        <v>16</v>
      </c>
      <c r="F50" t="s">
        <v>25</v>
      </c>
      <c r="G50" t="s">
        <v>33</v>
      </c>
      <c r="H50" t="s">
        <v>27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88</v>
      </c>
    </row>
    <row r="51" spans="1:14" x14ac:dyDescent="0.3">
      <c r="A51">
        <v>55</v>
      </c>
      <c r="B51" t="s">
        <v>13</v>
      </c>
      <c r="C51" t="s">
        <v>14</v>
      </c>
      <c r="D51" t="s">
        <v>14</v>
      </c>
      <c r="E51" t="s">
        <v>16</v>
      </c>
      <c r="F51" t="s">
        <v>25</v>
      </c>
      <c r="G51" t="s">
        <v>33</v>
      </c>
      <c r="H51" t="s">
        <v>27</v>
      </c>
      <c r="I51" t="s">
        <v>28</v>
      </c>
      <c r="J51" t="s">
        <v>21</v>
      </c>
      <c r="K51" t="s">
        <v>22</v>
      </c>
      <c r="L51" t="s">
        <v>35</v>
      </c>
      <c r="M51" t="s">
        <v>14</v>
      </c>
      <c r="N51" t="s">
        <v>88</v>
      </c>
    </row>
    <row r="52" spans="1:14" x14ac:dyDescent="0.3">
      <c r="A52">
        <v>40</v>
      </c>
      <c r="B52" t="s">
        <v>9</v>
      </c>
      <c r="C52" t="s">
        <v>14</v>
      </c>
      <c r="D52" t="s">
        <v>14</v>
      </c>
      <c r="E52" t="s">
        <v>16</v>
      </c>
      <c r="F52" t="s">
        <v>25</v>
      </c>
      <c r="G52" t="s">
        <v>33</v>
      </c>
      <c r="H52" t="s">
        <v>27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88</v>
      </c>
    </row>
    <row r="53" spans="1:14" x14ac:dyDescent="0.3">
      <c r="A53">
        <v>21</v>
      </c>
      <c r="B53" t="s">
        <v>13</v>
      </c>
      <c r="C53" t="s">
        <v>14</v>
      </c>
      <c r="D53" t="s">
        <v>14</v>
      </c>
      <c r="E53" t="s">
        <v>16</v>
      </c>
      <c r="F53" t="s">
        <v>25</v>
      </c>
      <c r="G53" t="s">
        <v>33</v>
      </c>
      <c r="H53" t="s">
        <v>27</v>
      </c>
      <c r="I53" t="s">
        <v>28</v>
      </c>
      <c r="J53" t="s">
        <v>21</v>
      </c>
      <c r="K53" t="s">
        <v>22</v>
      </c>
      <c r="L53" t="s">
        <v>35</v>
      </c>
      <c r="M53" t="s">
        <v>14</v>
      </c>
      <c r="N53" t="s">
        <v>88</v>
      </c>
    </row>
    <row r="54" spans="1:14" x14ac:dyDescent="0.3">
      <c r="A54">
        <v>30</v>
      </c>
      <c r="B54" t="s">
        <v>13</v>
      </c>
      <c r="C54" t="s">
        <v>14</v>
      </c>
      <c r="D54" t="s">
        <v>14</v>
      </c>
      <c r="E54" t="s">
        <v>16</v>
      </c>
      <c r="F54" t="s">
        <v>25</v>
      </c>
      <c r="G54" t="s">
        <v>33</v>
      </c>
      <c r="H54" t="s">
        <v>27</v>
      </c>
      <c r="I54" t="s">
        <v>28</v>
      </c>
      <c r="J54" t="s">
        <v>21</v>
      </c>
      <c r="K54" t="s">
        <v>22</v>
      </c>
      <c r="L54" t="s">
        <v>31</v>
      </c>
      <c r="M54" t="s">
        <v>14</v>
      </c>
      <c r="N54" t="s">
        <v>88</v>
      </c>
    </row>
    <row r="55" spans="1:14" x14ac:dyDescent="0.3">
      <c r="A55">
        <v>50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27</v>
      </c>
      <c r="I55" t="s">
        <v>28</v>
      </c>
      <c r="J55" t="s">
        <v>21</v>
      </c>
      <c r="K55" t="s">
        <v>22</v>
      </c>
      <c r="L55" t="s">
        <v>31</v>
      </c>
      <c r="M55" t="s">
        <v>14</v>
      </c>
      <c r="N55" t="s">
        <v>88</v>
      </c>
    </row>
    <row r="56" spans="1:14" x14ac:dyDescent="0.3">
      <c r="A56">
        <v>34</v>
      </c>
      <c r="B56" t="s">
        <v>13</v>
      </c>
      <c r="C56" t="s">
        <v>14</v>
      </c>
      <c r="D56" t="s">
        <v>14</v>
      </c>
      <c r="E56" t="s">
        <v>16</v>
      </c>
      <c r="F56" t="s">
        <v>25</v>
      </c>
      <c r="G56" t="s">
        <v>33</v>
      </c>
      <c r="H56" t="s">
        <v>27</v>
      </c>
      <c r="I56" t="s">
        <v>28</v>
      </c>
      <c r="J56" t="s">
        <v>21</v>
      </c>
      <c r="K56" t="s">
        <v>22</v>
      </c>
      <c r="L56" t="s">
        <v>35</v>
      </c>
      <c r="M56" t="s">
        <v>14</v>
      </c>
      <c r="N56" t="s">
        <v>88</v>
      </c>
    </row>
    <row r="57" spans="1:14" x14ac:dyDescent="0.3">
      <c r="A57">
        <v>52</v>
      </c>
      <c r="B57" t="s">
        <v>13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27</v>
      </c>
      <c r="I57" t="s">
        <v>28</v>
      </c>
      <c r="J57" t="s">
        <v>21</v>
      </c>
      <c r="K57" t="s">
        <v>22</v>
      </c>
      <c r="L57" t="s">
        <v>35</v>
      </c>
      <c r="M57" t="s">
        <v>14</v>
      </c>
      <c r="N57" t="s">
        <v>88</v>
      </c>
    </row>
    <row r="58" spans="1:14" x14ac:dyDescent="0.3">
      <c r="A58">
        <v>23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33</v>
      </c>
      <c r="H58" t="s">
        <v>27</v>
      </c>
      <c r="I58" t="s">
        <v>28</v>
      </c>
      <c r="J58" t="s">
        <v>21</v>
      </c>
      <c r="K58" t="s">
        <v>22</v>
      </c>
      <c r="L58" t="s">
        <v>35</v>
      </c>
      <c r="M58" t="s">
        <v>14</v>
      </c>
      <c r="N58" t="s">
        <v>88</v>
      </c>
    </row>
    <row r="59" spans="1:14" x14ac:dyDescent="0.3">
      <c r="A59">
        <v>36</v>
      </c>
      <c r="B59" t="s">
        <v>13</v>
      </c>
      <c r="C59" t="s">
        <v>14</v>
      </c>
      <c r="D59" t="s">
        <v>30</v>
      </c>
      <c r="E59" t="s">
        <v>16</v>
      </c>
      <c r="F59" t="s">
        <v>25</v>
      </c>
      <c r="G59" t="s">
        <v>33</v>
      </c>
      <c r="H59" t="s">
        <v>27</v>
      </c>
      <c r="I59" t="s">
        <v>20</v>
      </c>
      <c r="J59" t="s">
        <v>21</v>
      </c>
      <c r="K59" t="s">
        <v>22</v>
      </c>
      <c r="L59" t="s">
        <v>31</v>
      </c>
      <c r="M59" t="s">
        <v>14</v>
      </c>
      <c r="N59" t="s">
        <v>88</v>
      </c>
    </row>
    <row r="60" spans="1:14" x14ac:dyDescent="0.3">
      <c r="A60">
        <v>48</v>
      </c>
      <c r="B60" t="s">
        <v>9</v>
      </c>
      <c r="C60" t="s">
        <v>14</v>
      </c>
      <c r="D60" t="s">
        <v>40</v>
      </c>
      <c r="E60" t="s">
        <v>16</v>
      </c>
      <c r="F60" t="s">
        <v>25</v>
      </c>
      <c r="G60" t="s">
        <v>18</v>
      </c>
      <c r="H60" t="s">
        <v>27</v>
      </c>
      <c r="I60" t="s">
        <v>36</v>
      </c>
      <c r="J60" t="s">
        <v>21</v>
      </c>
      <c r="K60" t="s">
        <v>22</v>
      </c>
      <c r="L60" t="s">
        <v>31</v>
      </c>
      <c r="M60" t="s">
        <v>14</v>
      </c>
      <c r="N60" t="s">
        <v>88</v>
      </c>
    </row>
    <row r="61" spans="1:14" x14ac:dyDescent="0.3">
      <c r="A61">
        <v>35</v>
      </c>
      <c r="B61" t="s">
        <v>13</v>
      </c>
      <c r="C61" t="s">
        <v>14</v>
      </c>
      <c r="D61" t="s">
        <v>14</v>
      </c>
      <c r="E61" t="s">
        <v>16</v>
      </c>
      <c r="F61" t="s">
        <v>25</v>
      </c>
      <c r="G61" t="s">
        <v>33</v>
      </c>
      <c r="H61" t="s">
        <v>27</v>
      </c>
      <c r="I61" t="s">
        <v>28</v>
      </c>
      <c r="J61" t="s">
        <v>21</v>
      </c>
      <c r="K61" t="s">
        <v>22</v>
      </c>
      <c r="L61" t="s">
        <v>31</v>
      </c>
      <c r="M61" t="s">
        <v>14</v>
      </c>
      <c r="N61" t="s">
        <v>88</v>
      </c>
    </row>
    <row r="62" spans="1:14" x14ac:dyDescent="0.3">
      <c r="A62">
        <v>17</v>
      </c>
      <c r="B62" t="s">
        <v>13</v>
      </c>
      <c r="C62" t="s">
        <v>14</v>
      </c>
      <c r="D62" t="s">
        <v>14</v>
      </c>
      <c r="E62" t="s">
        <v>16</v>
      </c>
      <c r="F62" t="s">
        <v>25</v>
      </c>
      <c r="G62" t="s">
        <v>26</v>
      </c>
      <c r="H62" t="s">
        <v>27</v>
      </c>
      <c r="I62" t="s">
        <v>28</v>
      </c>
      <c r="J62" t="s">
        <v>21</v>
      </c>
      <c r="K62" t="s">
        <v>22</v>
      </c>
      <c r="L62" t="s">
        <v>23</v>
      </c>
      <c r="M62" t="s">
        <v>24</v>
      </c>
      <c r="N62" t="s">
        <v>88</v>
      </c>
    </row>
    <row r="63" spans="1:14" x14ac:dyDescent="0.3">
      <c r="A63">
        <v>27</v>
      </c>
      <c r="B63" t="s">
        <v>13</v>
      </c>
      <c r="C63" t="s">
        <v>14</v>
      </c>
      <c r="D63" t="s">
        <v>14</v>
      </c>
      <c r="E63" t="s">
        <v>43</v>
      </c>
      <c r="F63" t="s">
        <v>17</v>
      </c>
      <c r="G63" t="s">
        <v>33</v>
      </c>
      <c r="H63" t="s">
        <v>19</v>
      </c>
      <c r="I63" t="s">
        <v>28</v>
      </c>
      <c r="J63" t="s">
        <v>21</v>
      </c>
      <c r="K63" t="s">
        <v>22</v>
      </c>
      <c r="L63" t="s">
        <v>35</v>
      </c>
      <c r="M63" t="s">
        <v>14</v>
      </c>
      <c r="N63" t="s">
        <v>88</v>
      </c>
    </row>
    <row r="64" spans="1:14" x14ac:dyDescent="0.3">
      <c r="A64">
        <v>32</v>
      </c>
      <c r="B64" t="s">
        <v>13</v>
      </c>
      <c r="C64" t="s">
        <v>14</v>
      </c>
      <c r="D64" t="s">
        <v>14</v>
      </c>
      <c r="E64" t="s">
        <v>42</v>
      </c>
      <c r="F64" t="s">
        <v>17</v>
      </c>
      <c r="G64" t="s">
        <v>33</v>
      </c>
      <c r="H64" t="s">
        <v>19</v>
      </c>
      <c r="I64" t="s">
        <v>28</v>
      </c>
      <c r="J64" t="s">
        <v>21</v>
      </c>
      <c r="K64" t="s">
        <v>22</v>
      </c>
      <c r="L64" t="s">
        <v>31</v>
      </c>
      <c r="M64" t="s">
        <v>14</v>
      </c>
      <c r="N64" t="s">
        <v>88</v>
      </c>
    </row>
    <row r="65" spans="1:14" x14ac:dyDescent="0.3">
      <c r="A65">
        <v>25</v>
      </c>
      <c r="B65" t="s">
        <v>13</v>
      </c>
      <c r="C65" t="s">
        <v>14</v>
      </c>
      <c r="D65" t="s">
        <v>14</v>
      </c>
      <c r="E65" t="s">
        <v>42</v>
      </c>
      <c r="F65" t="s">
        <v>17</v>
      </c>
      <c r="G65" t="s">
        <v>33</v>
      </c>
      <c r="H65" t="s">
        <v>19</v>
      </c>
      <c r="I65" t="s">
        <v>28</v>
      </c>
      <c r="J65" t="s">
        <v>21</v>
      </c>
      <c r="K65" t="s">
        <v>22</v>
      </c>
      <c r="L65" t="s">
        <v>35</v>
      </c>
      <c r="M65" t="s">
        <v>14</v>
      </c>
      <c r="N65" t="s">
        <v>88</v>
      </c>
    </row>
    <row r="66" spans="1:14" x14ac:dyDescent="0.3">
      <c r="A66">
        <v>37</v>
      </c>
      <c r="B66" t="s">
        <v>13</v>
      </c>
      <c r="C66" t="s">
        <v>14</v>
      </c>
      <c r="D66" t="s">
        <v>14</v>
      </c>
      <c r="E66" t="s">
        <v>16</v>
      </c>
      <c r="F66" t="s">
        <v>17</v>
      </c>
      <c r="G66" t="s">
        <v>33</v>
      </c>
      <c r="H66" t="s">
        <v>19</v>
      </c>
      <c r="I66" t="s">
        <v>28</v>
      </c>
      <c r="J66" t="s">
        <v>21</v>
      </c>
      <c r="K66" t="s">
        <v>22</v>
      </c>
      <c r="L66" t="s">
        <v>35</v>
      </c>
      <c r="M66" t="s">
        <v>14</v>
      </c>
      <c r="N66" t="s">
        <v>88</v>
      </c>
    </row>
    <row r="67" spans="1:14" x14ac:dyDescent="0.3">
      <c r="A67">
        <v>30</v>
      </c>
      <c r="B67" t="s">
        <v>13</v>
      </c>
      <c r="C67" t="s">
        <v>14</v>
      </c>
      <c r="D67" t="s">
        <v>14</v>
      </c>
      <c r="E67" t="s">
        <v>16</v>
      </c>
      <c r="F67" t="s">
        <v>17</v>
      </c>
      <c r="G67" t="s">
        <v>33</v>
      </c>
      <c r="H67" t="s">
        <v>19</v>
      </c>
      <c r="I67" t="s">
        <v>28</v>
      </c>
      <c r="J67" t="s">
        <v>21</v>
      </c>
      <c r="K67" t="s">
        <v>22</v>
      </c>
      <c r="L67" t="s">
        <v>41</v>
      </c>
      <c r="M67" t="s">
        <v>14</v>
      </c>
      <c r="N67" t="s">
        <v>88</v>
      </c>
    </row>
    <row r="68" spans="1:14" x14ac:dyDescent="0.3">
      <c r="A68">
        <v>31</v>
      </c>
      <c r="B68" t="s">
        <v>9</v>
      </c>
      <c r="C68" t="s">
        <v>14</v>
      </c>
      <c r="D68" t="s">
        <v>14</v>
      </c>
      <c r="E68" t="s">
        <v>16</v>
      </c>
      <c r="F68" t="s">
        <v>17</v>
      </c>
      <c r="G68" t="s">
        <v>33</v>
      </c>
      <c r="H68" t="s">
        <v>19</v>
      </c>
      <c r="I68" t="s">
        <v>28</v>
      </c>
      <c r="J68" t="s">
        <v>21</v>
      </c>
      <c r="K68" t="s">
        <v>22</v>
      </c>
      <c r="L68" t="s">
        <v>35</v>
      </c>
      <c r="M68" t="s">
        <v>14</v>
      </c>
      <c r="N68" t="s">
        <v>88</v>
      </c>
    </row>
    <row r="69" spans="1:14" x14ac:dyDescent="0.3">
      <c r="A69">
        <v>52</v>
      </c>
      <c r="B69" t="s">
        <v>13</v>
      </c>
      <c r="C69" t="s">
        <v>14</v>
      </c>
      <c r="D69" t="s">
        <v>14</v>
      </c>
      <c r="E69" t="s">
        <v>16</v>
      </c>
      <c r="F69" t="s">
        <v>17</v>
      </c>
      <c r="G69" t="s">
        <v>33</v>
      </c>
      <c r="H69" t="s">
        <v>19</v>
      </c>
      <c r="I69" t="s">
        <v>28</v>
      </c>
      <c r="J69" t="s">
        <v>21</v>
      </c>
      <c r="K69" t="s">
        <v>22</v>
      </c>
      <c r="L69" t="s">
        <v>31</v>
      </c>
      <c r="M69" t="s">
        <v>14</v>
      </c>
      <c r="N69" t="s">
        <v>88</v>
      </c>
    </row>
    <row r="70" spans="1:14" x14ac:dyDescent="0.3">
      <c r="A70">
        <v>19</v>
      </c>
      <c r="B70" t="s">
        <v>13</v>
      </c>
      <c r="C70" t="s">
        <v>14</v>
      </c>
      <c r="D70" t="s">
        <v>14</v>
      </c>
      <c r="E70" t="s">
        <v>16</v>
      </c>
      <c r="F70" t="s">
        <v>17</v>
      </c>
      <c r="G70" t="s">
        <v>33</v>
      </c>
      <c r="H70" t="s">
        <v>19</v>
      </c>
      <c r="I70" t="s">
        <v>28</v>
      </c>
      <c r="J70" t="s">
        <v>21</v>
      </c>
      <c r="K70" t="s">
        <v>22</v>
      </c>
      <c r="L70" t="s">
        <v>35</v>
      </c>
      <c r="M70" t="s">
        <v>14</v>
      </c>
      <c r="N70" t="s">
        <v>88</v>
      </c>
    </row>
    <row r="71" spans="1:14" x14ac:dyDescent="0.3">
      <c r="A71">
        <v>32</v>
      </c>
      <c r="B71" t="s">
        <v>13</v>
      </c>
      <c r="C71" t="s">
        <v>14</v>
      </c>
      <c r="D71" t="s">
        <v>14</v>
      </c>
      <c r="E71" t="s">
        <v>16</v>
      </c>
      <c r="F71" t="s">
        <v>25</v>
      </c>
      <c r="G71" t="s">
        <v>33</v>
      </c>
      <c r="H71" t="s">
        <v>19</v>
      </c>
      <c r="I71" t="s">
        <v>28</v>
      </c>
      <c r="J71" t="s">
        <v>21</v>
      </c>
      <c r="K71" t="s">
        <v>22</v>
      </c>
      <c r="L71" t="s">
        <v>35</v>
      </c>
      <c r="M71" t="s">
        <v>14</v>
      </c>
      <c r="N71" t="s">
        <v>88</v>
      </c>
    </row>
    <row r="72" spans="1:14" x14ac:dyDescent="0.3">
      <c r="A72">
        <v>35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33</v>
      </c>
      <c r="H72" t="s">
        <v>19</v>
      </c>
      <c r="I72" t="s">
        <v>28</v>
      </c>
      <c r="J72" t="s">
        <v>21</v>
      </c>
      <c r="K72" t="s">
        <v>22</v>
      </c>
      <c r="L72" t="s">
        <v>31</v>
      </c>
      <c r="M72" t="s">
        <v>14</v>
      </c>
      <c r="N72" t="s">
        <v>88</v>
      </c>
    </row>
    <row r="73" spans="1:14" x14ac:dyDescent="0.3">
      <c r="A73">
        <v>28</v>
      </c>
      <c r="B73" t="s">
        <v>9</v>
      </c>
      <c r="C73" t="s">
        <v>14</v>
      </c>
      <c r="D73" t="s">
        <v>14</v>
      </c>
      <c r="E73" t="s">
        <v>16</v>
      </c>
      <c r="F73" t="s">
        <v>25</v>
      </c>
      <c r="G73" t="s">
        <v>33</v>
      </c>
      <c r="H73" t="s">
        <v>19</v>
      </c>
      <c r="I73" t="s">
        <v>28</v>
      </c>
      <c r="J73" t="s">
        <v>21</v>
      </c>
      <c r="K73" t="s">
        <v>22</v>
      </c>
      <c r="L73" t="s">
        <v>31</v>
      </c>
      <c r="M73" t="s">
        <v>14</v>
      </c>
      <c r="N73" t="s">
        <v>88</v>
      </c>
    </row>
    <row r="74" spans="1:14" x14ac:dyDescent="0.3">
      <c r="A74">
        <v>32</v>
      </c>
      <c r="B74" t="s">
        <v>13</v>
      </c>
      <c r="C74" t="s">
        <v>14</v>
      </c>
      <c r="D74" t="s">
        <v>14</v>
      </c>
      <c r="E74" t="s">
        <v>16</v>
      </c>
      <c r="F74" t="s">
        <v>17</v>
      </c>
      <c r="G74" t="s">
        <v>18</v>
      </c>
      <c r="H74" t="s">
        <v>19</v>
      </c>
      <c r="I74" t="s">
        <v>28</v>
      </c>
      <c r="J74" t="s">
        <v>21</v>
      </c>
      <c r="K74" t="s">
        <v>22</v>
      </c>
      <c r="L74" t="s">
        <v>41</v>
      </c>
      <c r="M74" t="s">
        <v>14</v>
      </c>
      <c r="N74" t="s">
        <v>88</v>
      </c>
    </row>
    <row r="75" spans="1:14" x14ac:dyDescent="0.3">
      <c r="A75">
        <v>53</v>
      </c>
      <c r="B75" t="s">
        <v>13</v>
      </c>
      <c r="C75" t="s">
        <v>14</v>
      </c>
      <c r="D75" t="s">
        <v>14</v>
      </c>
      <c r="E75" t="s">
        <v>16</v>
      </c>
      <c r="F75" t="s">
        <v>25</v>
      </c>
      <c r="G75" t="s">
        <v>18</v>
      </c>
      <c r="H75" t="s">
        <v>19</v>
      </c>
      <c r="I75" t="s">
        <v>28</v>
      </c>
      <c r="J75" t="s">
        <v>21</v>
      </c>
      <c r="K75" t="s">
        <v>22</v>
      </c>
      <c r="L75" t="s">
        <v>31</v>
      </c>
      <c r="M75" t="s">
        <v>14</v>
      </c>
      <c r="N75" t="s">
        <v>88</v>
      </c>
    </row>
    <row r="76" spans="1:14" x14ac:dyDescent="0.3">
      <c r="A76">
        <v>29</v>
      </c>
      <c r="B76" t="s">
        <v>13</v>
      </c>
      <c r="C76" t="s">
        <v>14</v>
      </c>
      <c r="D76" t="s">
        <v>40</v>
      </c>
      <c r="E76" t="s">
        <v>16</v>
      </c>
      <c r="F76" t="s">
        <v>25</v>
      </c>
      <c r="G76" t="s">
        <v>33</v>
      </c>
      <c r="H76" t="s">
        <v>19</v>
      </c>
      <c r="I76" t="s">
        <v>36</v>
      </c>
      <c r="J76" t="s">
        <v>21</v>
      </c>
      <c r="K76" t="s">
        <v>22</v>
      </c>
      <c r="L76" t="s">
        <v>35</v>
      </c>
      <c r="M76" t="s">
        <v>14</v>
      </c>
      <c r="N76" t="s">
        <v>88</v>
      </c>
    </row>
    <row r="77" spans="1:14" x14ac:dyDescent="0.3">
      <c r="A77">
        <v>31</v>
      </c>
      <c r="B77" t="s">
        <v>13</v>
      </c>
      <c r="C77" t="s">
        <v>14</v>
      </c>
      <c r="D77" t="s">
        <v>40</v>
      </c>
      <c r="E77" t="s">
        <v>16</v>
      </c>
      <c r="F77" t="s">
        <v>25</v>
      </c>
      <c r="G77" t="s">
        <v>18</v>
      </c>
      <c r="H77" t="s">
        <v>39</v>
      </c>
      <c r="I77" t="s">
        <v>20</v>
      </c>
      <c r="J77" t="s">
        <v>21</v>
      </c>
      <c r="K77" t="s">
        <v>22</v>
      </c>
      <c r="L77" t="s">
        <v>35</v>
      </c>
      <c r="M77" t="s">
        <v>24</v>
      </c>
      <c r="N77" t="s">
        <v>88</v>
      </c>
    </row>
    <row r="78" spans="1:14" x14ac:dyDescent="0.3">
      <c r="A78">
        <v>21</v>
      </c>
      <c r="B78" t="s">
        <v>13</v>
      </c>
      <c r="C78" t="s">
        <v>14</v>
      </c>
      <c r="D78" t="s">
        <v>14</v>
      </c>
      <c r="E78" t="s">
        <v>16</v>
      </c>
      <c r="F78" t="s">
        <v>17</v>
      </c>
      <c r="G78" t="s">
        <v>18</v>
      </c>
      <c r="H78" t="s">
        <v>39</v>
      </c>
      <c r="I78" t="s">
        <v>28</v>
      </c>
      <c r="J78" t="s">
        <v>21</v>
      </c>
      <c r="K78" t="s">
        <v>22</v>
      </c>
      <c r="L78" t="s">
        <v>23</v>
      </c>
      <c r="M78" t="s">
        <v>24</v>
      </c>
      <c r="N78" t="s">
        <v>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5A5-8A74-4CA3-8F44-3E37C38CB8A9}">
  <sheetPr>
    <tabColor rgb="FF0070C0"/>
  </sheetPr>
  <dimension ref="A1:N78"/>
  <sheetViews>
    <sheetView topLeftCell="A40" workbookViewId="0">
      <selection activeCell="N79" sqref="N79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9.4414062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91</v>
      </c>
    </row>
    <row r="2" spans="1:14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>
        <v>41.277000000000001</v>
      </c>
    </row>
    <row r="3" spans="1:14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>
        <v>36.738</v>
      </c>
    </row>
    <row r="4" spans="1:14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>
        <v>34.718000000000004</v>
      </c>
    </row>
    <row r="5" spans="1:14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>
        <v>35.543999999999997</v>
      </c>
    </row>
    <row r="6" spans="1:14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>
        <v>50.384999999999998</v>
      </c>
    </row>
    <row r="7" spans="1:14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>
        <v>35.543999999999997</v>
      </c>
    </row>
    <row r="8" spans="1:14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>
        <v>3.464</v>
      </c>
    </row>
    <row r="9" spans="1:14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>
        <v>36.247999999999998</v>
      </c>
    </row>
    <row r="10" spans="1:14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>
        <v>36.247999999999998</v>
      </c>
    </row>
    <row r="11" spans="1:14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>
        <v>53.826999999999998</v>
      </c>
    </row>
    <row r="12" spans="1:14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>
        <v>32.154000000000003</v>
      </c>
    </row>
    <row r="13" spans="1:14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>
        <v>36.167000000000002</v>
      </c>
    </row>
    <row r="14" spans="1:14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>
        <v>41.463000000000001</v>
      </c>
    </row>
    <row r="15" spans="1:14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>
        <v>34.776000000000003</v>
      </c>
    </row>
    <row r="16" spans="1:14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>
        <v>29.779</v>
      </c>
    </row>
    <row r="17" spans="1:14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>
        <v>53.826999999999998</v>
      </c>
    </row>
    <row r="18" spans="1:14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>
        <v>47.881</v>
      </c>
    </row>
    <row r="19" spans="1:14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>
        <v>46.429000000000002</v>
      </c>
    </row>
    <row r="20" spans="1:14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>
        <v>2.4220000000000002</v>
      </c>
    </row>
    <row r="21" spans="1:14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>
        <v>35.267000000000003</v>
      </c>
    </row>
    <row r="22" spans="1:14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>
        <v>27.922000000000001</v>
      </c>
    </row>
    <row r="23" spans="1:14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>
        <v>24.684999999999999</v>
      </c>
    </row>
    <row r="24" spans="1:14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>
        <v>41.883000000000003</v>
      </c>
    </row>
    <row r="25" spans="1:14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>
        <v>33.987000000000002</v>
      </c>
    </row>
    <row r="26" spans="1:14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>
        <v>43.973999999999997</v>
      </c>
    </row>
    <row r="27" spans="1:14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>
        <v>42.712000000000003</v>
      </c>
    </row>
    <row r="28" spans="1:14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>
        <v>37.048000000000002</v>
      </c>
    </row>
    <row r="29" spans="1:14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>
        <v>24.713000000000001</v>
      </c>
    </row>
    <row r="30" spans="1:14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>
        <v>27.227</v>
      </c>
    </row>
    <row r="31" spans="1:14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>
        <v>24.327999999999999</v>
      </c>
    </row>
    <row r="32" spans="1:14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>
        <v>30.986999999999998</v>
      </c>
    </row>
    <row r="33" spans="1:14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>
        <v>41.835999999999999</v>
      </c>
    </row>
    <row r="34" spans="1:14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>
        <v>0.29299999999999998</v>
      </c>
    </row>
    <row r="35" spans="1:14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>
        <v>36.167000000000002</v>
      </c>
    </row>
    <row r="36" spans="1:14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>
        <v>37.466000000000001</v>
      </c>
    </row>
    <row r="37" spans="1:14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>
        <v>25.047000000000001</v>
      </c>
    </row>
    <row r="38" spans="1:14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>
        <v>29.448</v>
      </c>
    </row>
    <row r="39" spans="1:14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>
        <v>37.487000000000002</v>
      </c>
    </row>
    <row r="40" spans="1:14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>
        <v>50.582999999999998</v>
      </c>
    </row>
    <row r="41" spans="1:14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>
        <v>60.308</v>
      </c>
    </row>
    <row r="42" spans="1:14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>
        <v>36.228000000000002</v>
      </c>
    </row>
    <row r="43" spans="1:14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>
        <v>55.915999999999997</v>
      </c>
    </row>
    <row r="44" spans="1:14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>
        <v>4.9740000000000002</v>
      </c>
    </row>
    <row r="45" spans="1:14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>
        <v>49.545000000000002</v>
      </c>
    </row>
    <row r="46" spans="1:14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>
        <v>5.5170000000000003</v>
      </c>
    </row>
    <row r="47" spans="1:14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>
        <v>46.066000000000003</v>
      </c>
    </row>
    <row r="48" spans="1:14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>
        <v>50.610999999999997</v>
      </c>
    </row>
    <row r="49" spans="1:14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>
        <v>49.768000000000001</v>
      </c>
    </row>
    <row r="50" spans="1:14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>
        <v>39.204000000000001</v>
      </c>
    </row>
    <row r="51" spans="1:14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>
        <v>46.454999999999998</v>
      </c>
    </row>
    <row r="52" spans="1:14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>
        <v>49.186</v>
      </c>
    </row>
    <row r="53" spans="1:14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>
        <v>40.317999999999998</v>
      </c>
    </row>
    <row r="54" spans="1:14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>
        <v>42.472999999999999</v>
      </c>
    </row>
    <row r="55" spans="1:14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>
        <v>36.045999999999999</v>
      </c>
    </row>
    <row r="56" spans="1:14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>
        <v>41.531999999999996</v>
      </c>
    </row>
    <row r="57" spans="1:14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>
        <v>48.555999999999997</v>
      </c>
    </row>
    <row r="58" spans="1:14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>
        <v>50.186999999999998</v>
      </c>
    </row>
    <row r="59" spans="1:14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>
        <v>46.899000000000001</v>
      </c>
    </row>
    <row r="60" spans="1:14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>
        <v>57.247</v>
      </c>
    </row>
    <row r="61" spans="1:14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>
        <v>52.311</v>
      </c>
    </row>
    <row r="62" spans="1:14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>
        <v>57.119</v>
      </c>
    </row>
    <row r="63" spans="1:14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>
        <v>57.536000000000001</v>
      </c>
    </row>
    <row r="64" spans="1:14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>
        <v>44.945</v>
      </c>
    </row>
    <row r="65" spans="1:14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>
        <v>41.277000000000001</v>
      </c>
    </row>
    <row r="66" spans="1:14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>
        <v>47.533999999999999</v>
      </c>
    </row>
    <row r="67" spans="1:14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>
        <v>50.046999999999997</v>
      </c>
    </row>
    <row r="68" spans="1:14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>
        <v>62.823999999999998</v>
      </c>
    </row>
    <row r="69" spans="1:14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>
        <v>61.021000000000001</v>
      </c>
    </row>
    <row r="70" spans="1:14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>
        <v>55.978999999999999</v>
      </c>
    </row>
    <row r="71" spans="1:14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>
        <v>58.674999999999997</v>
      </c>
    </row>
    <row r="72" spans="1:14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>
        <v>52.457999999999998</v>
      </c>
    </row>
    <row r="73" spans="1:14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>
        <v>62.334000000000003</v>
      </c>
    </row>
    <row r="74" spans="1:14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>
        <v>5.7729999999999997</v>
      </c>
    </row>
    <row r="75" spans="1:14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>
        <v>56.514000000000003</v>
      </c>
    </row>
    <row r="76" spans="1:14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>
        <v>58.087000000000003</v>
      </c>
    </row>
    <row r="77" spans="1:14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>
        <v>6.2089999999999996</v>
      </c>
    </row>
    <row r="78" spans="1:14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>
        <v>58.314999999999998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3839-13E4-485E-9E5B-22CE90AA3D68}">
  <sheetPr>
    <tabColor rgb="FF002060"/>
  </sheetPr>
  <dimension ref="A1:N8"/>
  <sheetViews>
    <sheetView workbookViewId="0">
      <selection activeCell="E16" sqref="E16"/>
    </sheetView>
  </sheetViews>
  <sheetFormatPr baseColWidth="10" defaultRowHeight="14.4" x14ac:dyDescent="0.3"/>
  <cols>
    <col min="1" max="1" width="9.109375" bestFit="1" customWidth="1"/>
    <col min="2" max="2" width="15.6640625" bestFit="1" customWidth="1"/>
    <col min="3" max="3" width="18.109375" bestFit="1" customWidth="1"/>
    <col min="4" max="4" width="23.44140625" bestFit="1" customWidth="1"/>
    <col min="5" max="5" width="21.44140625" bestFit="1" customWidth="1"/>
    <col min="6" max="6" width="11.88671875" bestFit="1" customWidth="1"/>
    <col min="7" max="7" width="10" bestFit="1" customWidth="1"/>
    <col min="8" max="8" width="12.77734375" bestFit="1" customWidth="1"/>
    <col min="9" max="9" width="10.77734375" bestFit="1" customWidth="1"/>
    <col min="10" max="10" width="7" bestFit="1" customWidth="1"/>
    <col min="11" max="11" width="12" bestFit="1" customWidth="1"/>
    <col min="12" max="12" width="23.77734375" bestFit="1" customWidth="1"/>
    <col min="13" max="13" width="21.77734375" bestFit="1" customWidth="1"/>
    <col min="14" max="14" width="18.33203125" bestFit="1" customWidth="1"/>
  </cols>
  <sheetData>
    <row r="1" spans="1:14" x14ac:dyDescent="0.3">
      <c r="A1" t="s">
        <v>87</v>
      </c>
      <c r="B1" t="s">
        <v>86</v>
      </c>
      <c r="C1" t="s">
        <v>85</v>
      </c>
      <c r="D1" t="s">
        <v>84</v>
      </c>
      <c r="E1" t="s">
        <v>83</v>
      </c>
      <c r="F1" t="s">
        <v>82</v>
      </c>
      <c r="G1" t="s">
        <v>81</v>
      </c>
      <c r="H1" t="s">
        <v>80</v>
      </c>
      <c r="I1" t="s">
        <v>79</v>
      </c>
      <c r="J1" t="s">
        <v>78</v>
      </c>
      <c r="K1" t="s">
        <v>77</v>
      </c>
      <c r="L1" t="s">
        <v>76</v>
      </c>
      <c r="M1" t="s">
        <v>75</v>
      </c>
      <c r="N1" t="s">
        <v>74</v>
      </c>
    </row>
    <row r="2" spans="1:14" x14ac:dyDescent="0.3">
      <c r="A2" t="s">
        <v>73</v>
      </c>
      <c r="B2" t="s">
        <v>69</v>
      </c>
      <c r="C2" t="s">
        <v>71</v>
      </c>
      <c r="D2">
        <v>65033</v>
      </c>
      <c r="E2">
        <v>199</v>
      </c>
      <c r="F2">
        <v>61111</v>
      </c>
      <c r="G2">
        <v>187</v>
      </c>
      <c r="H2">
        <v>9397</v>
      </c>
      <c r="I2">
        <v>18819</v>
      </c>
      <c r="J2">
        <v>144496</v>
      </c>
      <c r="K2">
        <v>2.6500499999999998E-7</v>
      </c>
      <c r="L2">
        <v>65033</v>
      </c>
      <c r="M2">
        <v>199</v>
      </c>
      <c r="N2">
        <v>2969</v>
      </c>
    </row>
    <row r="3" spans="1:14" x14ac:dyDescent="0.3">
      <c r="A3" t="s">
        <v>72</v>
      </c>
      <c r="B3" t="s">
        <v>61</v>
      </c>
      <c r="C3" t="s">
        <v>71</v>
      </c>
      <c r="D3">
        <v>69281</v>
      </c>
      <c r="E3">
        <v>212</v>
      </c>
      <c r="F3">
        <v>61438</v>
      </c>
      <c r="G3">
        <v>188</v>
      </c>
      <c r="H3">
        <v>88679</v>
      </c>
      <c r="I3">
        <v>16383</v>
      </c>
      <c r="J3">
        <v>136361</v>
      </c>
      <c r="K3">
        <v>4.0180999999999998E-36</v>
      </c>
      <c r="L3">
        <v>65033</v>
      </c>
      <c r="M3">
        <v>199</v>
      </c>
      <c r="N3">
        <v>2969</v>
      </c>
    </row>
    <row r="4" spans="1:14" x14ac:dyDescent="0.3">
      <c r="A4" t="s">
        <v>70</v>
      </c>
      <c r="B4" t="s">
        <v>69</v>
      </c>
      <c r="C4" t="s">
        <v>67</v>
      </c>
      <c r="D4">
        <v>65033</v>
      </c>
      <c r="E4">
        <v>199</v>
      </c>
      <c r="F4">
        <v>60784</v>
      </c>
      <c r="G4">
        <v>186</v>
      </c>
      <c r="H4">
        <v>93467</v>
      </c>
      <c r="I4">
        <v>14666</v>
      </c>
      <c r="J4">
        <v>131802</v>
      </c>
      <c r="K4">
        <v>1.3956700000000001E-2</v>
      </c>
      <c r="L4">
        <v>70915</v>
      </c>
      <c r="M4">
        <v>217</v>
      </c>
      <c r="N4">
        <v>23331</v>
      </c>
    </row>
    <row r="5" spans="1:14" x14ac:dyDescent="0.3">
      <c r="A5" t="s">
        <v>68</v>
      </c>
      <c r="B5" t="s">
        <v>61</v>
      </c>
      <c r="C5" t="s">
        <v>67</v>
      </c>
      <c r="D5">
        <v>69281</v>
      </c>
      <c r="E5">
        <v>212</v>
      </c>
      <c r="F5">
        <v>62092</v>
      </c>
      <c r="G5">
        <v>190</v>
      </c>
      <c r="H5">
        <v>89623</v>
      </c>
      <c r="I5">
        <v>12961</v>
      </c>
      <c r="J5">
        <v>12638</v>
      </c>
      <c r="K5">
        <v>1.8730400000000001E-21</v>
      </c>
      <c r="L5">
        <v>70915</v>
      </c>
      <c r="M5">
        <v>217</v>
      </c>
      <c r="N5">
        <v>23331</v>
      </c>
    </row>
    <row r="6" spans="1:14" x14ac:dyDescent="0.3">
      <c r="A6" t="s">
        <v>66</v>
      </c>
      <c r="B6" t="s">
        <v>61</v>
      </c>
      <c r="C6" t="s">
        <v>65</v>
      </c>
      <c r="D6">
        <v>69281</v>
      </c>
      <c r="E6">
        <v>212</v>
      </c>
      <c r="F6">
        <v>66667</v>
      </c>
      <c r="G6">
        <v>204</v>
      </c>
      <c r="H6">
        <v>96226</v>
      </c>
      <c r="I6">
        <v>1663</v>
      </c>
      <c r="J6">
        <v>133237</v>
      </c>
      <c r="K6">
        <v>1.1178E-41</v>
      </c>
      <c r="L6">
        <v>72222</v>
      </c>
      <c r="M6">
        <v>221</v>
      </c>
      <c r="N6">
        <v>1663</v>
      </c>
    </row>
    <row r="7" spans="1:14" x14ac:dyDescent="0.3">
      <c r="A7" t="s">
        <v>64</v>
      </c>
      <c r="B7" t="s">
        <v>61</v>
      </c>
      <c r="C7" t="s">
        <v>63</v>
      </c>
      <c r="D7">
        <v>69281</v>
      </c>
      <c r="E7">
        <v>212</v>
      </c>
      <c r="F7">
        <v>50327</v>
      </c>
      <c r="G7">
        <v>154</v>
      </c>
      <c r="H7">
        <v>72642</v>
      </c>
      <c r="I7">
        <v>12064</v>
      </c>
      <c r="J7">
        <v>131528</v>
      </c>
      <c r="K7">
        <v>5.82638E-16</v>
      </c>
      <c r="L7">
        <v>55229</v>
      </c>
      <c r="M7">
        <v>169</v>
      </c>
      <c r="N7">
        <v>12064</v>
      </c>
    </row>
    <row r="8" spans="1:14" x14ac:dyDescent="0.3">
      <c r="A8" t="s">
        <v>62</v>
      </c>
      <c r="B8" t="s">
        <v>61</v>
      </c>
      <c r="C8" t="s">
        <v>60</v>
      </c>
      <c r="D8">
        <v>69281</v>
      </c>
      <c r="E8">
        <v>212</v>
      </c>
      <c r="F8">
        <v>53922</v>
      </c>
      <c r="G8">
        <v>165</v>
      </c>
      <c r="H8">
        <v>7783</v>
      </c>
      <c r="I8">
        <v>864</v>
      </c>
      <c r="J8">
        <v>11908</v>
      </c>
      <c r="K8">
        <v>1.15626E-6</v>
      </c>
      <c r="L8">
        <v>65359</v>
      </c>
      <c r="M8">
        <v>200</v>
      </c>
      <c r="N8">
        <v>864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8176-E39E-4804-B86A-617B83F72D00}">
  <sheetPr>
    <tabColor rgb="FF7030A0"/>
  </sheetPr>
  <dimension ref="A1:AR78"/>
  <sheetViews>
    <sheetView workbookViewId="0">
      <selection activeCell="E22" sqref="E22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44" width="7.66406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122</v>
      </c>
      <c r="O1" t="s">
        <v>121</v>
      </c>
      <c r="P1" t="s">
        <v>120</v>
      </c>
      <c r="Q1" t="s">
        <v>119</v>
      </c>
      <c r="R1" t="s">
        <v>118</v>
      </c>
      <c r="S1" t="s">
        <v>117</v>
      </c>
      <c r="T1" t="s">
        <v>116</v>
      </c>
      <c r="U1" t="s">
        <v>115</v>
      </c>
      <c r="V1" t="s">
        <v>114</v>
      </c>
      <c r="W1" t="s">
        <v>113</v>
      </c>
      <c r="X1" t="s">
        <v>112</v>
      </c>
      <c r="Y1" t="s">
        <v>111</v>
      </c>
      <c r="Z1" t="s">
        <v>110</v>
      </c>
      <c r="AA1" t="s">
        <v>109</v>
      </c>
      <c r="AB1" t="s">
        <v>108</v>
      </c>
      <c r="AC1" t="s">
        <v>107</v>
      </c>
      <c r="AD1" t="s">
        <v>106</v>
      </c>
      <c r="AE1" t="s">
        <v>105</v>
      </c>
      <c r="AF1" t="s">
        <v>104</v>
      </c>
      <c r="AG1" t="s">
        <v>103</v>
      </c>
      <c r="AH1" t="s">
        <v>102</v>
      </c>
      <c r="AI1" t="s">
        <v>101</v>
      </c>
      <c r="AJ1" t="s">
        <v>100</v>
      </c>
      <c r="AK1" t="s">
        <v>99</v>
      </c>
      <c r="AL1" t="s">
        <v>98</v>
      </c>
      <c r="AM1" t="s">
        <v>97</v>
      </c>
      <c r="AN1" t="s">
        <v>96</v>
      </c>
      <c r="AO1" t="s">
        <v>95</v>
      </c>
      <c r="AP1" t="s">
        <v>94</v>
      </c>
      <c r="AQ1" t="s">
        <v>93</v>
      </c>
      <c r="AR1" t="s">
        <v>92</v>
      </c>
    </row>
    <row r="2" spans="1:44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>
        <v>199424</v>
      </c>
      <c r="O2">
        <v>-6989</v>
      </c>
      <c r="P2">
        <v>2405</v>
      </c>
      <c r="Q2">
        <v>-6252</v>
      </c>
      <c r="R2">
        <v>1374</v>
      </c>
      <c r="S2">
        <v>17765</v>
      </c>
      <c r="T2">
        <v>-34852</v>
      </c>
      <c r="U2">
        <v>-37683</v>
      </c>
      <c r="V2">
        <v>-3136</v>
      </c>
      <c r="W2">
        <v>3638</v>
      </c>
      <c r="X2">
        <v>-17266</v>
      </c>
      <c r="Y2">
        <v>184653</v>
      </c>
      <c r="Z2">
        <v>16404</v>
      </c>
      <c r="AA2">
        <v>31343</v>
      </c>
      <c r="AB2">
        <v>-34106</v>
      </c>
      <c r="AC2">
        <v>9595</v>
      </c>
      <c r="AD2">
        <v>21026</v>
      </c>
      <c r="AE2">
        <v>-33972</v>
      </c>
      <c r="AF2">
        <v>-20222</v>
      </c>
      <c r="AG2">
        <v>-27751</v>
      </c>
      <c r="AH2">
        <v>8421</v>
      </c>
      <c r="AI2">
        <v>-2042</v>
      </c>
      <c r="AJ2">
        <v>-303026</v>
      </c>
      <c r="AK2">
        <v>-7279</v>
      </c>
      <c r="AL2">
        <v>-1687</v>
      </c>
      <c r="AM2">
        <v>9915</v>
      </c>
      <c r="AN2">
        <v>-31086</v>
      </c>
      <c r="AO2">
        <v>7432</v>
      </c>
      <c r="AP2">
        <v>41521</v>
      </c>
      <c r="AQ2">
        <v>-36523</v>
      </c>
      <c r="AR2">
        <v>25913</v>
      </c>
    </row>
    <row r="3" spans="1:44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>
        <v>212037</v>
      </c>
      <c r="O3">
        <v>-3809</v>
      </c>
      <c r="P3">
        <v>2265</v>
      </c>
      <c r="Q3">
        <v>-968</v>
      </c>
      <c r="R3">
        <v>-974</v>
      </c>
      <c r="S3">
        <v>559</v>
      </c>
      <c r="T3">
        <v>-9504</v>
      </c>
      <c r="U3">
        <v>-22369</v>
      </c>
      <c r="V3">
        <v>1657</v>
      </c>
      <c r="W3">
        <v>24824</v>
      </c>
      <c r="X3">
        <v>-19323</v>
      </c>
      <c r="Y3">
        <v>172142</v>
      </c>
      <c r="Z3">
        <v>3025</v>
      </c>
      <c r="AA3">
        <v>6671</v>
      </c>
      <c r="AB3">
        <v>-16827</v>
      </c>
      <c r="AC3">
        <v>-2477</v>
      </c>
      <c r="AD3">
        <v>5862</v>
      </c>
      <c r="AE3">
        <v>-12986</v>
      </c>
      <c r="AF3">
        <v>-8037</v>
      </c>
      <c r="AG3">
        <v>-8149</v>
      </c>
      <c r="AH3">
        <v>57</v>
      </c>
      <c r="AI3">
        <v>767</v>
      </c>
      <c r="AJ3">
        <v>-282015</v>
      </c>
      <c r="AK3">
        <v>-4377</v>
      </c>
      <c r="AL3">
        <v>-946</v>
      </c>
      <c r="AM3">
        <v>118454</v>
      </c>
      <c r="AN3">
        <v>-33445</v>
      </c>
      <c r="AO3">
        <v>14979</v>
      </c>
      <c r="AP3">
        <v>40737</v>
      </c>
      <c r="AQ3">
        <v>-26674</v>
      </c>
      <c r="AR3">
        <v>4077</v>
      </c>
    </row>
    <row r="4" spans="1:44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>
        <v>219395</v>
      </c>
      <c r="O4">
        <v>-1953</v>
      </c>
      <c r="P4">
        <v>2184</v>
      </c>
      <c r="Q4">
        <v>2114</v>
      </c>
      <c r="R4">
        <v>-23436</v>
      </c>
      <c r="S4">
        <v>-9478</v>
      </c>
      <c r="T4">
        <v>5282</v>
      </c>
      <c r="U4">
        <v>-13435</v>
      </c>
      <c r="V4">
        <v>4453</v>
      </c>
      <c r="W4">
        <v>18082</v>
      </c>
      <c r="X4">
        <v>-20522</v>
      </c>
      <c r="Y4">
        <v>164844</v>
      </c>
      <c r="Z4">
        <v>-478</v>
      </c>
      <c r="AA4">
        <v>-7721</v>
      </c>
      <c r="AB4">
        <v>-6747</v>
      </c>
      <c r="AC4">
        <v>-9519</v>
      </c>
      <c r="AD4">
        <v>-2984</v>
      </c>
      <c r="AE4">
        <v>-743</v>
      </c>
      <c r="AF4">
        <v>-929</v>
      </c>
      <c r="AG4">
        <v>3285</v>
      </c>
      <c r="AH4">
        <v>4113</v>
      </c>
      <c r="AI4">
        <v>2405</v>
      </c>
      <c r="AJ4">
        <v>-269759</v>
      </c>
      <c r="AK4">
        <v>-2684</v>
      </c>
      <c r="AL4">
        <v>-513</v>
      </c>
      <c r="AM4">
        <v>129715</v>
      </c>
      <c r="AN4">
        <v>-34822</v>
      </c>
      <c r="AO4">
        <v>19382</v>
      </c>
      <c r="AP4">
        <v>40279</v>
      </c>
      <c r="AQ4">
        <v>-20929</v>
      </c>
      <c r="AR4">
        <v>49437</v>
      </c>
    </row>
    <row r="5" spans="1:44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>
        <v>226753</v>
      </c>
      <c r="O5">
        <v>-9.7999999999999997E-3</v>
      </c>
      <c r="P5">
        <v>2102</v>
      </c>
      <c r="Q5">
        <v>5197</v>
      </c>
      <c r="R5">
        <v>-37133</v>
      </c>
      <c r="S5">
        <v>-19515</v>
      </c>
      <c r="T5">
        <v>20069</v>
      </c>
      <c r="U5">
        <v>-4502</v>
      </c>
      <c r="V5">
        <v>7249</v>
      </c>
      <c r="W5">
        <v>11341</v>
      </c>
      <c r="X5">
        <v>-21722</v>
      </c>
      <c r="Y5">
        <v>157545</v>
      </c>
      <c r="Z5">
        <v>-12584</v>
      </c>
      <c r="AA5">
        <v>-22113</v>
      </c>
      <c r="AB5">
        <v>3332</v>
      </c>
      <c r="AC5">
        <v>-16561</v>
      </c>
      <c r="AD5">
        <v>-1183</v>
      </c>
      <c r="AE5">
        <v>11499</v>
      </c>
      <c r="AF5">
        <v>6179</v>
      </c>
      <c r="AG5">
        <v>1472</v>
      </c>
      <c r="AH5">
        <v>2526</v>
      </c>
      <c r="AI5">
        <v>4043</v>
      </c>
      <c r="AJ5">
        <v>-257502</v>
      </c>
      <c r="AK5">
        <v>-99</v>
      </c>
      <c r="AL5">
        <v>-8.0000000000000002E-3</v>
      </c>
      <c r="AM5">
        <v>140976</v>
      </c>
      <c r="AN5">
        <v>-36198</v>
      </c>
      <c r="AO5">
        <v>23784</v>
      </c>
      <c r="AP5">
        <v>39822</v>
      </c>
      <c r="AQ5">
        <v>-15184</v>
      </c>
      <c r="AR5">
        <v>58103</v>
      </c>
    </row>
    <row r="6" spans="1:44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>
        <v>17363</v>
      </c>
      <c r="O6">
        <v>-7648</v>
      </c>
      <c r="P6">
        <v>-20573</v>
      </c>
      <c r="Q6">
        <v>-50804</v>
      </c>
      <c r="R6">
        <v>59024</v>
      </c>
      <c r="S6">
        <v>-25155</v>
      </c>
      <c r="T6">
        <v>33848</v>
      </c>
      <c r="U6">
        <v>96499</v>
      </c>
      <c r="V6">
        <v>129991</v>
      </c>
      <c r="W6">
        <v>30156</v>
      </c>
      <c r="X6">
        <v>78085</v>
      </c>
      <c r="Y6">
        <v>182075</v>
      </c>
      <c r="Z6">
        <v>-58411</v>
      </c>
      <c r="AA6">
        <v>-10891</v>
      </c>
      <c r="AB6">
        <v>1584</v>
      </c>
      <c r="AC6">
        <v>3107</v>
      </c>
      <c r="AD6">
        <v>32241</v>
      </c>
      <c r="AE6">
        <v>-5006</v>
      </c>
      <c r="AF6">
        <v>-6911</v>
      </c>
      <c r="AG6">
        <v>18283</v>
      </c>
      <c r="AH6">
        <v>-1388</v>
      </c>
      <c r="AI6">
        <v>1197</v>
      </c>
      <c r="AJ6">
        <v>-267663</v>
      </c>
      <c r="AK6">
        <v>243</v>
      </c>
      <c r="AL6">
        <v>-2202</v>
      </c>
      <c r="AM6">
        <v>15674</v>
      </c>
      <c r="AN6">
        <v>27243</v>
      </c>
      <c r="AO6">
        <v>28436</v>
      </c>
      <c r="AP6">
        <v>75539</v>
      </c>
      <c r="AQ6">
        <v>1922</v>
      </c>
      <c r="AR6">
        <v>4297</v>
      </c>
    </row>
    <row r="7" spans="1:44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>
        <v>226753</v>
      </c>
      <c r="O7">
        <v>-9.7999999999999997E-3</v>
      </c>
      <c r="P7">
        <v>2102</v>
      </c>
      <c r="Q7">
        <v>5197</v>
      </c>
      <c r="R7">
        <v>-37133</v>
      </c>
      <c r="S7">
        <v>-19515</v>
      </c>
      <c r="T7">
        <v>20069</v>
      </c>
      <c r="U7">
        <v>-4502</v>
      </c>
      <c r="V7">
        <v>7249</v>
      </c>
      <c r="W7">
        <v>11341</v>
      </c>
      <c r="X7">
        <v>-21722</v>
      </c>
      <c r="Y7">
        <v>157545</v>
      </c>
      <c r="Z7">
        <v>-12584</v>
      </c>
      <c r="AA7">
        <v>-22113</v>
      </c>
      <c r="AB7">
        <v>3332</v>
      </c>
      <c r="AC7">
        <v>-16561</v>
      </c>
      <c r="AD7">
        <v>-1183</v>
      </c>
      <c r="AE7">
        <v>11499</v>
      </c>
      <c r="AF7">
        <v>6179</v>
      </c>
      <c r="AG7">
        <v>1472</v>
      </c>
      <c r="AH7">
        <v>2526</v>
      </c>
      <c r="AI7">
        <v>4043</v>
      </c>
      <c r="AJ7">
        <v>-257502</v>
      </c>
      <c r="AK7">
        <v>-99</v>
      </c>
      <c r="AL7">
        <v>-8.0000000000000002E-3</v>
      </c>
      <c r="AM7">
        <v>140976</v>
      </c>
      <c r="AN7">
        <v>-36198</v>
      </c>
      <c r="AO7">
        <v>23784</v>
      </c>
      <c r="AP7">
        <v>39822</v>
      </c>
      <c r="AQ7">
        <v>-15184</v>
      </c>
      <c r="AR7">
        <v>58103</v>
      </c>
    </row>
    <row r="8" spans="1:44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>
        <v>225702</v>
      </c>
      <c r="O8">
        <v>-363</v>
      </c>
      <c r="P8">
        <v>2114</v>
      </c>
      <c r="Q8">
        <v>4756</v>
      </c>
      <c r="R8">
        <v>-35176</v>
      </c>
      <c r="S8">
        <v>-18081</v>
      </c>
      <c r="T8">
        <v>17956</v>
      </c>
      <c r="U8">
        <v>-5778</v>
      </c>
      <c r="V8">
        <v>685</v>
      </c>
      <c r="W8">
        <v>12304</v>
      </c>
      <c r="X8">
        <v>-21551</v>
      </c>
      <c r="Y8">
        <v>158588</v>
      </c>
      <c r="Z8">
        <v>-11469</v>
      </c>
      <c r="AA8">
        <v>-20057</v>
      </c>
      <c r="AB8">
        <v>1892</v>
      </c>
      <c r="AC8">
        <v>-15555</v>
      </c>
      <c r="AD8">
        <v>-10567</v>
      </c>
      <c r="AE8">
        <v>975</v>
      </c>
      <c r="AF8">
        <v>5164</v>
      </c>
      <c r="AG8">
        <v>13086</v>
      </c>
      <c r="AH8">
        <v>2753</v>
      </c>
      <c r="AI8">
        <v>3809</v>
      </c>
      <c r="AJ8">
        <v>-259253</v>
      </c>
      <c r="AK8">
        <v>-1232</v>
      </c>
      <c r="AL8">
        <v>-142</v>
      </c>
      <c r="AM8">
        <v>139368</v>
      </c>
      <c r="AN8">
        <v>-36001</v>
      </c>
      <c r="AO8">
        <v>23155</v>
      </c>
      <c r="AP8">
        <v>39887</v>
      </c>
      <c r="AQ8">
        <v>-16005</v>
      </c>
      <c r="AR8">
        <v>56865</v>
      </c>
    </row>
    <row r="9" spans="1:44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>
        <v>228856</v>
      </c>
      <c r="O9">
        <v>432</v>
      </c>
      <c r="P9">
        <v>2079</v>
      </c>
      <c r="Q9">
        <v>6077</v>
      </c>
      <c r="R9">
        <v>-41046</v>
      </c>
      <c r="S9">
        <v>-22382</v>
      </c>
      <c r="T9">
        <v>24293</v>
      </c>
      <c r="U9">
        <v>-195</v>
      </c>
      <c r="V9">
        <v>8048</v>
      </c>
      <c r="W9">
        <v>9415</v>
      </c>
      <c r="X9">
        <v>-22065</v>
      </c>
      <c r="Y9">
        <v>15546</v>
      </c>
      <c r="Z9">
        <v>-14814</v>
      </c>
      <c r="AA9">
        <v>-26225</v>
      </c>
      <c r="AB9">
        <v>6212</v>
      </c>
      <c r="AC9">
        <v>-18573</v>
      </c>
      <c r="AD9">
        <v>-14358</v>
      </c>
      <c r="AE9">
        <v>14997</v>
      </c>
      <c r="AF9">
        <v>821</v>
      </c>
      <c r="AG9">
        <v>17987</v>
      </c>
      <c r="AH9">
        <v>2073</v>
      </c>
      <c r="AI9">
        <v>4511</v>
      </c>
      <c r="AJ9">
        <v>-254</v>
      </c>
      <c r="AK9">
        <v>-507</v>
      </c>
      <c r="AL9">
        <v>4.3E-3</v>
      </c>
      <c r="AM9">
        <v>144194</v>
      </c>
      <c r="AN9">
        <v>-36591</v>
      </c>
      <c r="AO9">
        <v>25042</v>
      </c>
      <c r="AP9">
        <v>39691</v>
      </c>
      <c r="AQ9">
        <v>-13543</v>
      </c>
      <c r="AR9">
        <v>60579</v>
      </c>
    </row>
    <row r="10" spans="1:44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>
        <v>229907</v>
      </c>
      <c r="O10">
        <v>697</v>
      </c>
      <c r="P10">
        <v>2067</v>
      </c>
      <c r="Q10">
        <v>6518</v>
      </c>
      <c r="R10">
        <v>-43003</v>
      </c>
      <c r="S10">
        <v>-23816</v>
      </c>
      <c r="T10">
        <v>26406</v>
      </c>
      <c r="U10">
        <v>-673</v>
      </c>
      <c r="V10">
        <v>8447</v>
      </c>
      <c r="W10">
        <v>8452</v>
      </c>
      <c r="X10">
        <v>-22236</v>
      </c>
      <c r="Y10">
        <v>154417</v>
      </c>
      <c r="Z10">
        <v>-15929</v>
      </c>
      <c r="AA10">
        <v>-28281</v>
      </c>
      <c r="AB10">
        <v>7652</v>
      </c>
      <c r="AC10">
        <v>-19578</v>
      </c>
      <c r="AD10">
        <v>-15622</v>
      </c>
      <c r="AE10">
        <v>16745</v>
      </c>
      <c r="AF10">
        <v>9225</v>
      </c>
      <c r="AG10">
        <v>1962</v>
      </c>
      <c r="AH10">
        <v>1846</v>
      </c>
      <c r="AI10">
        <v>4745</v>
      </c>
      <c r="AJ10">
        <v>-252249</v>
      </c>
      <c r="AK10">
        <v>-265</v>
      </c>
      <c r="AL10">
        <v>105</v>
      </c>
      <c r="AM10">
        <v>145803</v>
      </c>
      <c r="AN10">
        <v>-36787</v>
      </c>
      <c r="AO10">
        <v>25671</v>
      </c>
      <c r="AP10">
        <v>39625</v>
      </c>
      <c r="AQ10">
        <v>-12722</v>
      </c>
      <c r="AR10">
        <v>61817</v>
      </c>
    </row>
    <row r="11" spans="1:44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>
        <v>-1999</v>
      </c>
      <c r="O11">
        <v>183224</v>
      </c>
      <c r="P11">
        <v>-43929</v>
      </c>
      <c r="Q11">
        <v>61812</v>
      </c>
      <c r="R11">
        <v>-84723</v>
      </c>
      <c r="S11">
        <v>-63977</v>
      </c>
      <c r="T11">
        <v>-98666</v>
      </c>
      <c r="U11">
        <v>-101662</v>
      </c>
      <c r="V11">
        <v>-15562</v>
      </c>
      <c r="W11">
        <v>1482</v>
      </c>
      <c r="X11">
        <v>131744</v>
      </c>
      <c r="Y11">
        <v>-131209</v>
      </c>
      <c r="Z11">
        <v>-12737</v>
      </c>
      <c r="AA11">
        <v>-125519</v>
      </c>
      <c r="AB11">
        <v>-29552</v>
      </c>
      <c r="AC11">
        <v>60233</v>
      </c>
      <c r="AD11">
        <v>33191</v>
      </c>
      <c r="AE11">
        <v>28401</v>
      </c>
      <c r="AF11">
        <v>-7125</v>
      </c>
      <c r="AG11">
        <v>-19422</v>
      </c>
      <c r="AH11">
        <v>1592</v>
      </c>
      <c r="AI11">
        <v>-11731</v>
      </c>
      <c r="AJ11">
        <v>-91271</v>
      </c>
      <c r="AK11">
        <v>1192</v>
      </c>
      <c r="AL11">
        <v>-211942</v>
      </c>
      <c r="AM11">
        <v>188362</v>
      </c>
      <c r="AN11">
        <v>-13468</v>
      </c>
      <c r="AO11">
        <v>-11315</v>
      </c>
      <c r="AP11">
        <v>32193</v>
      </c>
      <c r="AQ11">
        <v>-98367</v>
      </c>
      <c r="AR11">
        <v>136524</v>
      </c>
    </row>
    <row r="12" spans="1:44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>
        <v>190332</v>
      </c>
      <c r="O12">
        <v>21423</v>
      </c>
      <c r="P12">
        <v>168173</v>
      </c>
      <c r="Q12">
        <v>143095</v>
      </c>
      <c r="R12">
        <v>13631</v>
      </c>
      <c r="S12">
        <v>14036</v>
      </c>
      <c r="T12">
        <v>-919</v>
      </c>
      <c r="U12">
        <v>24764</v>
      </c>
      <c r="V12">
        <v>47379</v>
      </c>
      <c r="W12">
        <v>31714</v>
      </c>
      <c r="X12">
        <v>-30289</v>
      </c>
      <c r="Y12">
        <v>34881</v>
      </c>
      <c r="Z12">
        <v>-9912</v>
      </c>
      <c r="AA12">
        <v>-21968</v>
      </c>
      <c r="AB12">
        <v>17094</v>
      </c>
      <c r="AC12">
        <v>2965</v>
      </c>
      <c r="AD12">
        <v>6103</v>
      </c>
      <c r="AE12">
        <v>5915</v>
      </c>
      <c r="AF12">
        <v>-6215</v>
      </c>
      <c r="AG12">
        <v>2142</v>
      </c>
      <c r="AH12">
        <v>-2783</v>
      </c>
      <c r="AI12">
        <v>3136</v>
      </c>
      <c r="AJ12">
        <v>128609</v>
      </c>
      <c r="AK12">
        <v>142</v>
      </c>
      <c r="AL12">
        <v>-4487</v>
      </c>
      <c r="AM12">
        <v>3027</v>
      </c>
      <c r="AN12">
        <v>-2341</v>
      </c>
      <c r="AO12">
        <v>-25987</v>
      </c>
      <c r="AP12">
        <v>-58817</v>
      </c>
      <c r="AQ12">
        <v>84412</v>
      </c>
      <c r="AR12">
        <v>6546</v>
      </c>
    </row>
    <row r="13" spans="1:44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>
        <v>159849</v>
      </c>
      <c r="O13">
        <v>13737</v>
      </c>
      <c r="P13">
        <v>168511</v>
      </c>
      <c r="Q13">
        <v>130325</v>
      </c>
      <c r="R13">
        <v>70374</v>
      </c>
      <c r="S13">
        <v>55617</v>
      </c>
      <c r="T13">
        <v>-62177</v>
      </c>
      <c r="U13">
        <v>-12245</v>
      </c>
      <c r="V13">
        <v>35795</v>
      </c>
      <c r="W13">
        <v>59642</v>
      </c>
      <c r="X13">
        <v>-25318</v>
      </c>
      <c r="Y13">
        <v>65118</v>
      </c>
      <c r="Z13">
        <v>22421</v>
      </c>
      <c r="AA13">
        <v>37657</v>
      </c>
      <c r="AB13">
        <v>-24663</v>
      </c>
      <c r="AC13">
        <v>32138</v>
      </c>
      <c r="AD13">
        <v>42751</v>
      </c>
      <c r="AE13">
        <v>-44803</v>
      </c>
      <c r="AF13">
        <v>-35663</v>
      </c>
      <c r="AG13">
        <v>-25951</v>
      </c>
      <c r="AH13">
        <v>3792</v>
      </c>
      <c r="AI13">
        <v>-3651</v>
      </c>
      <c r="AJ13">
        <v>77832</v>
      </c>
      <c r="AK13">
        <v>-5595</v>
      </c>
      <c r="AL13">
        <v>-6279</v>
      </c>
      <c r="AM13">
        <v>-16383</v>
      </c>
      <c r="AN13">
        <v>-17709</v>
      </c>
      <c r="AO13">
        <v>-44225</v>
      </c>
      <c r="AP13">
        <v>-56921</v>
      </c>
      <c r="AQ13">
        <v>60611</v>
      </c>
      <c r="AR13">
        <v>-29358</v>
      </c>
    </row>
    <row r="14" spans="1:44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>
        <v>126366</v>
      </c>
      <c r="O14">
        <v>9665</v>
      </c>
      <c r="P14">
        <v>172297</v>
      </c>
      <c r="Q14">
        <v>173736</v>
      </c>
      <c r="R14">
        <v>27299</v>
      </c>
      <c r="S14">
        <v>-39451</v>
      </c>
      <c r="T14">
        <v>-70312</v>
      </c>
      <c r="U14">
        <v>-132</v>
      </c>
      <c r="V14">
        <v>-9095</v>
      </c>
      <c r="W14">
        <v>-30574</v>
      </c>
      <c r="X14">
        <v>82199</v>
      </c>
      <c r="Y14">
        <v>2936</v>
      </c>
      <c r="Z14">
        <v>12394</v>
      </c>
      <c r="AA14">
        <v>-3673</v>
      </c>
      <c r="AB14">
        <v>-12643</v>
      </c>
      <c r="AC14">
        <v>77002</v>
      </c>
      <c r="AD14">
        <v>-47313</v>
      </c>
      <c r="AE14">
        <v>4669</v>
      </c>
      <c r="AF14">
        <v>-21997</v>
      </c>
      <c r="AG14">
        <v>3681</v>
      </c>
      <c r="AH14">
        <v>-11177</v>
      </c>
      <c r="AI14">
        <v>-1271</v>
      </c>
      <c r="AJ14">
        <v>80998</v>
      </c>
      <c r="AK14">
        <v>-4353</v>
      </c>
      <c r="AL14">
        <v>-6946</v>
      </c>
      <c r="AM14">
        <v>-6251</v>
      </c>
      <c r="AN14">
        <v>-9053</v>
      </c>
      <c r="AO14">
        <v>-49178</v>
      </c>
      <c r="AP14">
        <v>-82503</v>
      </c>
      <c r="AQ14">
        <v>89961</v>
      </c>
      <c r="AR14">
        <v>-23906</v>
      </c>
    </row>
    <row r="15" spans="1:44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>
        <v>163002</v>
      </c>
      <c r="O15">
        <v>14532</v>
      </c>
      <c r="P15">
        <v>168476</v>
      </c>
      <c r="Q15">
        <v>131646</v>
      </c>
      <c r="R15">
        <v>64504</v>
      </c>
      <c r="S15">
        <v>51315</v>
      </c>
      <c r="T15">
        <v>-5584</v>
      </c>
      <c r="U15">
        <v>-8417</v>
      </c>
      <c r="V15">
        <v>36993</v>
      </c>
      <c r="W15">
        <v>56753</v>
      </c>
      <c r="X15">
        <v>-25833</v>
      </c>
      <c r="Y15">
        <v>6199</v>
      </c>
      <c r="Z15">
        <v>19076</v>
      </c>
      <c r="AA15">
        <v>31489</v>
      </c>
      <c r="AB15">
        <v>-20344</v>
      </c>
      <c r="AC15">
        <v>2912</v>
      </c>
      <c r="AD15">
        <v>3896</v>
      </c>
      <c r="AE15">
        <v>-39556</v>
      </c>
      <c r="AF15">
        <v>-32617</v>
      </c>
      <c r="AG15">
        <v>-21051</v>
      </c>
      <c r="AH15">
        <v>3112</v>
      </c>
      <c r="AI15">
        <v>-2949</v>
      </c>
      <c r="AJ15">
        <v>83085</v>
      </c>
      <c r="AK15">
        <v>-4869</v>
      </c>
      <c r="AL15">
        <v>-6093</v>
      </c>
      <c r="AM15">
        <v>-11557</v>
      </c>
      <c r="AN15">
        <v>-18299</v>
      </c>
      <c r="AO15">
        <v>-42339</v>
      </c>
      <c r="AP15">
        <v>-57117</v>
      </c>
      <c r="AQ15">
        <v>63073</v>
      </c>
      <c r="AR15">
        <v>-25643</v>
      </c>
    </row>
    <row r="16" spans="1:44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>
        <v>186127</v>
      </c>
      <c r="O16">
        <v>20363</v>
      </c>
      <c r="P16">
        <v>16822</v>
      </c>
      <c r="Q16">
        <v>141334</v>
      </c>
      <c r="R16">
        <v>21457</v>
      </c>
      <c r="S16">
        <v>19771</v>
      </c>
      <c r="T16">
        <v>-9369</v>
      </c>
      <c r="U16">
        <v>1966</v>
      </c>
      <c r="V16">
        <v>45781</v>
      </c>
      <c r="W16">
        <v>35566</v>
      </c>
      <c r="X16">
        <v>-29603</v>
      </c>
      <c r="Y16">
        <v>39052</v>
      </c>
      <c r="Z16">
        <v>-5452</v>
      </c>
      <c r="AA16">
        <v>-13744</v>
      </c>
      <c r="AB16">
        <v>11334</v>
      </c>
      <c r="AC16">
        <v>6988</v>
      </c>
      <c r="AD16">
        <v>11158</v>
      </c>
      <c r="AE16">
        <v>-1081</v>
      </c>
      <c r="AF16">
        <v>-10277</v>
      </c>
      <c r="AG16">
        <v>14886</v>
      </c>
      <c r="AH16">
        <v>-1876</v>
      </c>
      <c r="AI16">
        <v>22</v>
      </c>
      <c r="AJ16">
        <v>121605</v>
      </c>
      <c r="AK16">
        <v>452</v>
      </c>
      <c r="AL16">
        <v>-4734</v>
      </c>
      <c r="AM16">
        <v>23835</v>
      </c>
      <c r="AN16">
        <v>-22624</v>
      </c>
      <c r="AO16">
        <v>-28503</v>
      </c>
      <c r="AP16">
        <v>-58555</v>
      </c>
      <c r="AQ16">
        <v>81129</v>
      </c>
      <c r="AR16">
        <v>1594</v>
      </c>
    </row>
    <row r="17" spans="1:44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>
        <v>-233544</v>
      </c>
      <c r="O17">
        <v>194844</v>
      </c>
      <c r="P17">
        <v>146383</v>
      </c>
      <c r="Q17">
        <v>114015</v>
      </c>
      <c r="R17">
        <v>2981</v>
      </c>
      <c r="S17">
        <v>-18065</v>
      </c>
      <c r="T17">
        <v>-16037</v>
      </c>
      <c r="U17">
        <v>60842</v>
      </c>
      <c r="V17">
        <v>196131</v>
      </c>
      <c r="W17">
        <v>110623</v>
      </c>
      <c r="X17">
        <v>189946</v>
      </c>
      <c r="Y17">
        <v>-21756</v>
      </c>
      <c r="Z17">
        <v>69533</v>
      </c>
      <c r="AA17">
        <v>34273</v>
      </c>
      <c r="AB17">
        <v>-6318</v>
      </c>
      <c r="AC17">
        <v>112868</v>
      </c>
      <c r="AD17">
        <v>-51652</v>
      </c>
      <c r="AE17">
        <v>52378</v>
      </c>
      <c r="AF17">
        <v>-23068</v>
      </c>
      <c r="AG17">
        <v>-614</v>
      </c>
      <c r="AH17">
        <v>-236</v>
      </c>
      <c r="AI17">
        <v>2027</v>
      </c>
      <c r="AJ17">
        <v>84408</v>
      </c>
      <c r="AK17">
        <v>22104</v>
      </c>
      <c r="AL17">
        <v>-34</v>
      </c>
      <c r="AM17">
        <v>179071</v>
      </c>
      <c r="AN17">
        <v>42409</v>
      </c>
      <c r="AO17">
        <v>-36963</v>
      </c>
      <c r="AP17">
        <v>39614</v>
      </c>
      <c r="AQ17">
        <v>7198</v>
      </c>
      <c r="AR17">
        <v>44515</v>
      </c>
    </row>
    <row r="18" spans="1:44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>
        <v>106503</v>
      </c>
      <c r="O18">
        <v>-19283</v>
      </c>
      <c r="P18">
        <v>-135859</v>
      </c>
      <c r="Q18">
        <v>-6432</v>
      </c>
      <c r="R18">
        <v>-118665</v>
      </c>
      <c r="S18">
        <v>-216406</v>
      </c>
      <c r="T18">
        <v>-35433</v>
      </c>
      <c r="U18">
        <v>-124419</v>
      </c>
      <c r="V18">
        <v>122382</v>
      </c>
      <c r="W18">
        <v>-26484</v>
      </c>
      <c r="X18">
        <v>-54293</v>
      </c>
      <c r="Y18">
        <v>23444</v>
      </c>
      <c r="Z18">
        <v>75959</v>
      </c>
      <c r="AA18">
        <v>-5823</v>
      </c>
      <c r="AB18">
        <v>-22222</v>
      </c>
      <c r="AC18">
        <v>87398</v>
      </c>
      <c r="AD18">
        <v>-7591</v>
      </c>
      <c r="AE18">
        <v>68142</v>
      </c>
      <c r="AF18">
        <v>-52808</v>
      </c>
      <c r="AG18">
        <v>21054</v>
      </c>
      <c r="AH18">
        <v>2653</v>
      </c>
      <c r="AI18">
        <v>-5341</v>
      </c>
      <c r="AJ18">
        <v>-2669</v>
      </c>
      <c r="AK18">
        <v>-26972</v>
      </c>
      <c r="AL18">
        <v>-2277</v>
      </c>
      <c r="AM18">
        <v>-105943</v>
      </c>
      <c r="AN18">
        <v>94989</v>
      </c>
      <c r="AO18">
        <v>-9709</v>
      </c>
      <c r="AP18">
        <v>-2199</v>
      </c>
      <c r="AQ18">
        <v>2324</v>
      </c>
      <c r="AR18">
        <v>-175604</v>
      </c>
    </row>
    <row r="19" spans="1:44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>
        <v>168367</v>
      </c>
      <c r="O19">
        <v>-8054</v>
      </c>
      <c r="P19">
        <v>-13996</v>
      </c>
      <c r="Q19">
        <v>-37953</v>
      </c>
      <c r="R19">
        <v>-12842</v>
      </c>
      <c r="S19">
        <v>-160051</v>
      </c>
      <c r="T19">
        <v>29735</v>
      </c>
      <c r="U19">
        <v>-89007</v>
      </c>
      <c r="V19">
        <v>178057</v>
      </c>
      <c r="W19">
        <v>3773</v>
      </c>
      <c r="X19">
        <v>-166438</v>
      </c>
      <c r="Y19">
        <v>3105</v>
      </c>
      <c r="Z19">
        <v>55883</v>
      </c>
      <c r="AA19">
        <v>-72412</v>
      </c>
      <c r="AB19">
        <v>4634</v>
      </c>
      <c r="AC19">
        <v>15373</v>
      </c>
      <c r="AD19">
        <v>-19966</v>
      </c>
      <c r="AE19">
        <v>6589</v>
      </c>
      <c r="AF19">
        <v>-39057</v>
      </c>
      <c r="AG19">
        <v>35526</v>
      </c>
      <c r="AH19">
        <v>35377</v>
      </c>
      <c r="AI19">
        <v>10037</v>
      </c>
      <c r="AJ19">
        <v>41441</v>
      </c>
      <c r="AK19">
        <v>-21683</v>
      </c>
      <c r="AL19">
        <v>5.8999999999999999E-3</v>
      </c>
      <c r="AM19">
        <v>-72639</v>
      </c>
      <c r="AN19">
        <v>81025</v>
      </c>
      <c r="AO19">
        <v>12224</v>
      </c>
      <c r="AP19">
        <v>-196083</v>
      </c>
      <c r="AQ19">
        <v>-4867</v>
      </c>
      <c r="AR19">
        <v>-147628</v>
      </c>
    </row>
    <row r="20" spans="1:44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>
        <v>177236</v>
      </c>
      <c r="O20">
        <v>-35932</v>
      </c>
      <c r="P20">
        <v>-51329</v>
      </c>
      <c r="Q20">
        <v>-51986</v>
      </c>
      <c r="R20">
        <v>18918</v>
      </c>
      <c r="S20">
        <v>-13072</v>
      </c>
      <c r="T20">
        <v>3625</v>
      </c>
      <c r="U20">
        <v>-25889</v>
      </c>
      <c r="V20">
        <v>-28697</v>
      </c>
      <c r="W20">
        <v>316</v>
      </c>
      <c r="X20">
        <v>-2402</v>
      </c>
      <c r="Y20">
        <v>3109</v>
      </c>
      <c r="Z20">
        <v>-5457</v>
      </c>
      <c r="AA20">
        <v>-4283</v>
      </c>
      <c r="AB20">
        <v>7666</v>
      </c>
      <c r="AC20">
        <v>-26588</v>
      </c>
      <c r="AD20">
        <v>-1566</v>
      </c>
      <c r="AE20">
        <v>17427</v>
      </c>
      <c r="AF20">
        <v>13638</v>
      </c>
      <c r="AG20">
        <v>4839</v>
      </c>
      <c r="AH20">
        <v>606</v>
      </c>
      <c r="AI20">
        <v>-4124</v>
      </c>
      <c r="AJ20">
        <v>116792</v>
      </c>
      <c r="AK20">
        <v>-1019</v>
      </c>
      <c r="AL20">
        <v>1062</v>
      </c>
      <c r="AM20">
        <v>20599</v>
      </c>
      <c r="AN20">
        <v>-20098</v>
      </c>
      <c r="AO20">
        <v>-18949</v>
      </c>
      <c r="AP20">
        <v>-19831</v>
      </c>
      <c r="AQ20">
        <v>11991</v>
      </c>
      <c r="AR20">
        <v>688</v>
      </c>
    </row>
    <row r="21" spans="1:44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>
        <v>140446</v>
      </c>
      <c r="O21">
        <v>-45208</v>
      </c>
      <c r="P21">
        <v>-50922</v>
      </c>
      <c r="Q21">
        <v>-67397</v>
      </c>
      <c r="R21">
        <v>87402</v>
      </c>
      <c r="S21">
        <v>37112</v>
      </c>
      <c r="T21">
        <v>-70306</v>
      </c>
      <c r="U21">
        <v>-70556</v>
      </c>
      <c r="V21">
        <v>-42678</v>
      </c>
      <c r="W21">
        <v>36867</v>
      </c>
      <c r="X21">
        <v>-18021</v>
      </c>
      <c r="Y21">
        <v>67582</v>
      </c>
      <c r="Z21">
        <v>33566</v>
      </c>
      <c r="AA21">
        <v>67678</v>
      </c>
      <c r="AB21">
        <v>-42731</v>
      </c>
      <c r="AC21">
        <v>8621</v>
      </c>
      <c r="AD21">
        <v>42664</v>
      </c>
      <c r="AE21">
        <v>-43784</v>
      </c>
      <c r="AF21">
        <v>-21902</v>
      </c>
      <c r="AG21">
        <v>-52333</v>
      </c>
      <c r="AH21">
        <v>8542</v>
      </c>
      <c r="AI21">
        <v>-12315</v>
      </c>
      <c r="AJ21">
        <v>5551</v>
      </c>
      <c r="AK21">
        <v>-9484</v>
      </c>
      <c r="AL21">
        <v>-1101</v>
      </c>
      <c r="AM21">
        <v>-35706</v>
      </c>
      <c r="AN21">
        <v>-13218</v>
      </c>
      <c r="AO21">
        <v>-40961</v>
      </c>
      <c r="AP21">
        <v>-17542</v>
      </c>
      <c r="AQ21">
        <v>-16733</v>
      </c>
      <c r="AR21">
        <v>-42644</v>
      </c>
    </row>
    <row r="22" spans="1:44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>
        <v>160417</v>
      </c>
      <c r="O22">
        <v>-40173</v>
      </c>
      <c r="P22">
        <v>-51143</v>
      </c>
      <c r="Q22">
        <v>-59031</v>
      </c>
      <c r="R22">
        <v>50225</v>
      </c>
      <c r="S22">
        <v>987</v>
      </c>
      <c r="T22">
        <v>-30172</v>
      </c>
      <c r="U22">
        <v>-46308</v>
      </c>
      <c r="V22">
        <v>-35088</v>
      </c>
      <c r="W22">
        <v>18569</v>
      </c>
      <c r="X22">
        <v>-21278</v>
      </c>
      <c r="Y22">
        <v>47772</v>
      </c>
      <c r="Z22">
        <v>12382</v>
      </c>
      <c r="AA22">
        <v>28613</v>
      </c>
      <c r="AB22">
        <v>-15373</v>
      </c>
      <c r="AC22">
        <v>-10492</v>
      </c>
      <c r="AD22">
        <v>18654</v>
      </c>
      <c r="AE22">
        <v>-10556</v>
      </c>
      <c r="AF22">
        <v>-2609</v>
      </c>
      <c r="AG22">
        <v>-21297</v>
      </c>
      <c r="AH22">
        <v>4234</v>
      </c>
      <c r="AI22">
        <v>-7868</v>
      </c>
      <c r="AJ22">
        <v>88777</v>
      </c>
      <c r="AK22">
        <v>-4889</v>
      </c>
      <c r="AL22">
        <v>7.3000000000000001E-3</v>
      </c>
      <c r="AM22">
        <v>-514</v>
      </c>
      <c r="AN22">
        <v>-16953</v>
      </c>
      <c r="AO22">
        <v>-29011</v>
      </c>
      <c r="AP22">
        <v>-18785</v>
      </c>
      <c r="AQ22">
        <v>-114</v>
      </c>
      <c r="AR22">
        <v>-19121</v>
      </c>
    </row>
    <row r="23" spans="1:44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>
        <v>18144</v>
      </c>
      <c r="O23">
        <v>-34872</v>
      </c>
      <c r="P23">
        <v>-51376</v>
      </c>
      <c r="Q23">
        <v>-50225</v>
      </c>
      <c r="R23">
        <v>11092</v>
      </c>
      <c r="S23">
        <v>-18807</v>
      </c>
      <c r="T23">
        <v>12074</v>
      </c>
      <c r="U23">
        <v>-20784</v>
      </c>
      <c r="V23">
        <v>-27099</v>
      </c>
      <c r="W23">
        <v>-692</v>
      </c>
      <c r="X23">
        <v>-24705</v>
      </c>
      <c r="Y23">
        <v>26919</v>
      </c>
      <c r="Z23">
        <v>-9916</v>
      </c>
      <c r="AA23">
        <v>-12507</v>
      </c>
      <c r="AB23">
        <v>13425</v>
      </c>
      <c r="AC23">
        <v>-30611</v>
      </c>
      <c r="AD23">
        <v>-6621</v>
      </c>
      <c r="AE23">
        <v>24422</v>
      </c>
      <c r="AF23">
        <v>177</v>
      </c>
      <c r="AG23">
        <v>11373</v>
      </c>
      <c r="AH23">
        <v>-301</v>
      </c>
      <c r="AI23">
        <v>-3188</v>
      </c>
      <c r="AJ23">
        <v>123796</v>
      </c>
      <c r="AK23">
        <v>-5.1000000000000004E-3</v>
      </c>
      <c r="AL23">
        <v>1309</v>
      </c>
      <c r="AM23">
        <v>27034</v>
      </c>
      <c r="AN23">
        <v>-20885</v>
      </c>
      <c r="AO23">
        <v>-16433</v>
      </c>
      <c r="AP23">
        <v>-20092</v>
      </c>
      <c r="AQ23">
        <v>15274</v>
      </c>
      <c r="AR23">
        <v>564</v>
      </c>
    </row>
    <row r="24" spans="1:44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>
        <v>108504</v>
      </c>
      <c r="O24">
        <v>-186989</v>
      </c>
      <c r="P24">
        <v>40553</v>
      </c>
      <c r="Q24">
        <v>-110132</v>
      </c>
      <c r="R24">
        <v>19393</v>
      </c>
      <c r="S24">
        <v>25591</v>
      </c>
      <c r="T24">
        <v>-183409</v>
      </c>
      <c r="U24">
        <v>80423</v>
      </c>
      <c r="V24">
        <v>28268</v>
      </c>
      <c r="W24">
        <v>-44756</v>
      </c>
      <c r="X24">
        <v>-93618</v>
      </c>
      <c r="Y24">
        <v>42612</v>
      </c>
      <c r="Z24">
        <v>162351</v>
      </c>
      <c r="AA24">
        <v>-50018</v>
      </c>
      <c r="AB24">
        <v>8439</v>
      </c>
      <c r="AC24">
        <v>28047</v>
      </c>
      <c r="AD24">
        <v>1239</v>
      </c>
      <c r="AE24">
        <v>3191</v>
      </c>
      <c r="AF24">
        <v>-19745</v>
      </c>
      <c r="AG24">
        <v>-45188</v>
      </c>
      <c r="AH24">
        <v>-27508</v>
      </c>
      <c r="AI24">
        <v>36521</v>
      </c>
      <c r="AJ24">
        <v>79061</v>
      </c>
      <c r="AK24">
        <v>66088</v>
      </c>
      <c r="AL24">
        <v>231</v>
      </c>
      <c r="AM24">
        <v>-138189</v>
      </c>
      <c r="AN24">
        <v>44163</v>
      </c>
      <c r="AO24">
        <v>-3721</v>
      </c>
      <c r="AP24">
        <v>102849</v>
      </c>
      <c r="AQ24">
        <v>-154462</v>
      </c>
      <c r="AR24">
        <v>90987</v>
      </c>
    </row>
    <row r="25" spans="1:44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>
        <v>143599</v>
      </c>
      <c r="O25">
        <v>-44413</v>
      </c>
      <c r="P25">
        <v>-50956</v>
      </c>
      <c r="Q25">
        <v>-66076</v>
      </c>
      <c r="R25">
        <v>81532</v>
      </c>
      <c r="S25">
        <v>32811</v>
      </c>
      <c r="T25">
        <v>-63969</v>
      </c>
      <c r="U25">
        <v>-66727</v>
      </c>
      <c r="V25">
        <v>-41479</v>
      </c>
      <c r="W25">
        <v>33978</v>
      </c>
      <c r="X25">
        <v>-18535</v>
      </c>
      <c r="Y25">
        <v>64454</v>
      </c>
      <c r="Z25">
        <v>30221</v>
      </c>
      <c r="AA25">
        <v>6151</v>
      </c>
      <c r="AB25">
        <v>-38411</v>
      </c>
      <c r="AC25">
        <v>5604</v>
      </c>
      <c r="AD25">
        <v>38873</v>
      </c>
      <c r="AE25">
        <v>-38538</v>
      </c>
      <c r="AF25">
        <v>-18856</v>
      </c>
      <c r="AG25">
        <v>-47432</v>
      </c>
      <c r="AH25">
        <v>7861</v>
      </c>
      <c r="AI25">
        <v>-11613</v>
      </c>
      <c r="AJ25">
        <v>60762</v>
      </c>
      <c r="AK25">
        <v>-8759</v>
      </c>
      <c r="AL25">
        <v>-916</v>
      </c>
      <c r="AM25">
        <v>-3088</v>
      </c>
      <c r="AN25">
        <v>-13808</v>
      </c>
      <c r="AO25">
        <v>-39074</v>
      </c>
      <c r="AP25">
        <v>-17739</v>
      </c>
      <c r="AQ25">
        <v>-14271</v>
      </c>
      <c r="AR25">
        <v>-3893</v>
      </c>
    </row>
    <row r="26" spans="1:44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>
        <v>142141</v>
      </c>
      <c r="O26">
        <v>-178508</v>
      </c>
      <c r="P26">
        <v>40181</v>
      </c>
      <c r="Q26">
        <v>-96042</v>
      </c>
      <c r="R26">
        <v>-43221</v>
      </c>
      <c r="S26">
        <v>-20291</v>
      </c>
      <c r="T26">
        <v>-115815</v>
      </c>
      <c r="U26">
        <v>121261</v>
      </c>
      <c r="V26">
        <v>4105</v>
      </c>
      <c r="W26">
        <v>-75574</v>
      </c>
      <c r="X26">
        <v>-99102</v>
      </c>
      <c r="Y26">
        <v>9248</v>
      </c>
      <c r="Z26">
        <v>126674</v>
      </c>
      <c r="AA26">
        <v>-115811</v>
      </c>
      <c r="AB26">
        <v>54516</v>
      </c>
      <c r="AC26">
        <v>-4144</v>
      </c>
      <c r="AD26">
        <v>-392</v>
      </c>
      <c r="AE26">
        <v>59155</v>
      </c>
      <c r="AF26">
        <v>12749</v>
      </c>
      <c r="AG26">
        <v>7083</v>
      </c>
      <c r="AH26">
        <v>-34763</v>
      </c>
      <c r="AI26">
        <v>44009</v>
      </c>
      <c r="AJ26">
        <v>135091</v>
      </c>
      <c r="AK26">
        <v>73828</v>
      </c>
      <c r="AL26">
        <v>4288</v>
      </c>
      <c r="AM26">
        <v>-8671</v>
      </c>
      <c r="AN26">
        <v>37872</v>
      </c>
      <c r="AO26">
        <v>-17084</v>
      </c>
      <c r="AP26">
        <v>100757</v>
      </c>
      <c r="AQ26">
        <v>-1282</v>
      </c>
      <c r="AR26">
        <v>130606</v>
      </c>
    </row>
    <row r="27" spans="1:44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>
        <v>12322</v>
      </c>
      <c r="O27">
        <v>-183279</v>
      </c>
      <c r="P27">
        <v>4039</v>
      </c>
      <c r="Q27">
        <v>-103968</v>
      </c>
      <c r="R27">
        <v>-8001</v>
      </c>
      <c r="S27">
        <v>5518</v>
      </c>
      <c r="T27">
        <v>-153837</v>
      </c>
      <c r="U27">
        <v>98289</v>
      </c>
      <c r="V27">
        <v>3386</v>
      </c>
      <c r="W27">
        <v>-58239</v>
      </c>
      <c r="X27">
        <v>-96017</v>
      </c>
      <c r="Y27">
        <v>28015</v>
      </c>
      <c r="Z27">
        <v>146742</v>
      </c>
      <c r="AA27">
        <v>-78803</v>
      </c>
      <c r="AB27">
        <v>28598</v>
      </c>
      <c r="AC27">
        <v>13963</v>
      </c>
      <c r="AD27">
        <v>-16453</v>
      </c>
      <c r="AE27">
        <v>27675</v>
      </c>
      <c r="AF27">
        <v>-5529</v>
      </c>
      <c r="AG27">
        <v>-22319</v>
      </c>
      <c r="AH27">
        <v>-30682</v>
      </c>
      <c r="AI27">
        <v>39797</v>
      </c>
      <c r="AJ27">
        <v>103574</v>
      </c>
      <c r="AK27">
        <v>69474</v>
      </c>
      <c r="AL27">
        <v>3175</v>
      </c>
      <c r="AM27">
        <v>-115667</v>
      </c>
      <c r="AN27">
        <v>41411</v>
      </c>
      <c r="AO27">
        <v>-28405</v>
      </c>
      <c r="AP27">
        <v>101933</v>
      </c>
      <c r="AQ27">
        <v>-142973</v>
      </c>
      <c r="AR27">
        <v>10832</v>
      </c>
    </row>
    <row r="28" spans="1:44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>
        <v>164773</v>
      </c>
      <c r="O28">
        <v>43103</v>
      </c>
      <c r="P28">
        <v>-129289</v>
      </c>
      <c r="Q28">
        <v>16184</v>
      </c>
      <c r="R28">
        <v>-9254</v>
      </c>
      <c r="S28">
        <v>108659</v>
      </c>
      <c r="T28">
        <v>50359</v>
      </c>
      <c r="U28">
        <v>116159</v>
      </c>
      <c r="V28">
        <v>-65803</v>
      </c>
      <c r="W28">
        <v>-62105</v>
      </c>
      <c r="X28">
        <v>-13321</v>
      </c>
      <c r="Y28">
        <v>-15454</v>
      </c>
      <c r="Z28">
        <v>62306</v>
      </c>
      <c r="AA28">
        <v>-5525</v>
      </c>
      <c r="AB28">
        <v>59127</v>
      </c>
      <c r="AC28">
        <v>-66025</v>
      </c>
      <c r="AD28">
        <v>-4224</v>
      </c>
      <c r="AE28">
        <v>3142</v>
      </c>
      <c r="AF28">
        <v>2786</v>
      </c>
      <c r="AG28">
        <v>10758</v>
      </c>
      <c r="AH28">
        <v>-14719</v>
      </c>
      <c r="AI28">
        <v>4786</v>
      </c>
      <c r="AJ28">
        <v>90613</v>
      </c>
      <c r="AK28">
        <v>17585</v>
      </c>
      <c r="AL28">
        <v>3129</v>
      </c>
      <c r="AM28">
        <v>-51879</v>
      </c>
      <c r="AN28">
        <v>6806</v>
      </c>
      <c r="AO28">
        <v>32146</v>
      </c>
      <c r="AP28">
        <v>-37237</v>
      </c>
      <c r="AQ28">
        <v>-17625</v>
      </c>
      <c r="AR28">
        <v>-32197</v>
      </c>
    </row>
    <row r="29" spans="1:44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>
        <v>175133</v>
      </c>
      <c r="O29">
        <v>-36462</v>
      </c>
      <c r="P29">
        <v>-51306</v>
      </c>
      <c r="Q29">
        <v>-52867</v>
      </c>
      <c r="R29">
        <v>22832</v>
      </c>
      <c r="S29">
        <v>-10204</v>
      </c>
      <c r="T29">
        <v>-6</v>
      </c>
      <c r="U29">
        <v>-28442</v>
      </c>
      <c r="V29">
        <v>-29496</v>
      </c>
      <c r="W29">
        <v>5087</v>
      </c>
      <c r="X29">
        <v>-23677</v>
      </c>
      <c r="Y29">
        <v>33175</v>
      </c>
      <c r="Z29">
        <v>-3227</v>
      </c>
      <c r="AA29">
        <v>-171</v>
      </c>
      <c r="AB29">
        <v>4786</v>
      </c>
      <c r="AC29">
        <v>-24576</v>
      </c>
      <c r="AD29">
        <v>962</v>
      </c>
      <c r="AE29">
        <v>13929</v>
      </c>
      <c r="AF29">
        <v>11607</v>
      </c>
      <c r="AG29">
        <v>1572</v>
      </c>
      <c r="AH29">
        <v>106</v>
      </c>
      <c r="AI29">
        <v>-4592</v>
      </c>
      <c r="AJ29">
        <v>113291</v>
      </c>
      <c r="AK29">
        <v>-1502</v>
      </c>
      <c r="AL29">
        <v>938</v>
      </c>
      <c r="AM29">
        <v>17382</v>
      </c>
      <c r="AN29">
        <v>-19705</v>
      </c>
      <c r="AO29">
        <v>-20206</v>
      </c>
      <c r="AP29">
        <v>-197</v>
      </c>
      <c r="AQ29">
        <v>1035</v>
      </c>
      <c r="AR29">
        <v>-1788</v>
      </c>
    </row>
    <row r="30" spans="1:44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>
        <v>184594</v>
      </c>
      <c r="O30">
        <v>-34077</v>
      </c>
      <c r="P30">
        <v>-51411</v>
      </c>
      <c r="Q30">
        <v>-48904</v>
      </c>
      <c r="R30">
        <v>5222</v>
      </c>
      <c r="S30">
        <v>-23108</v>
      </c>
      <c r="T30">
        <v>18411</v>
      </c>
      <c r="U30">
        <v>-16956</v>
      </c>
      <c r="V30">
        <v>-25901</v>
      </c>
      <c r="W30">
        <v>-3581</v>
      </c>
      <c r="X30">
        <v>-25219</v>
      </c>
      <c r="Y30">
        <v>23791</v>
      </c>
      <c r="Z30">
        <v>-13261</v>
      </c>
      <c r="AA30">
        <v>-18675</v>
      </c>
      <c r="AB30">
        <v>17745</v>
      </c>
      <c r="AC30">
        <v>-33629</v>
      </c>
      <c r="AD30">
        <v>-10412</v>
      </c>
      <c r="AE30">
        <v>29669</v>
      </c>
      <c r="AF30">
        <v>20746</v>
      </c>
      <c r="AG30">
        <v>16273</v>
      </c>
      <c r="AH30">
        <v>-981</v>
      </c>
      <c r="AI30">
        <v>-2486</v>
      </c>
      <c r="AJ30">
        <v>129049</v>
      </c>
      <c r="AK30">
        <v>675</v>
      </c>
      <c r="AL30">
        <v>1495</v>
      </c>
      <c r="AM30">
        <v>3186</v>
      </c>
      <c r="AN30">
        <v>-21475</v>
      </c>
      <c r="AO30">
        <v>-14546</v>
      </c>
      <c r="AP30">
        <v>-20288</v>
      </c>
      <c r="AQ30">
        <v>17736</v>
      </c>
      <c r="AR30">
        <v>9354</v>
      </c>
    </row>
    <row r="31" spans="1:44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>
        <v>180389</v>
      </c>
      <c r="O31">
        <v>-35137</v>
      </c>
      <c r="P31">
        <v>-51364</v>
      </c>
      <c r="Q31">
        <v>-50665</v>
      </c>
      <c r="R31">
        <v>13048</v>
      </c>
      <c r="S31">
        <v>-17373</v>
      </c>
      <c r="T31">
        <v>9962</v>
      </c>
      <c r="U31">
        <v>-22061</v>
      </c>
      <c r="V31">
        <v>-27499</v>
      </c>
      <c r="W31">
        <v>271</v>
      </c>
      <c r="X31">
        <v>-24534</v>
      </c>
      <c r="Y31">
        <v>27962</v>
      </c>
      <c r="Z31">
        <v>-8801</v>
      </c>
      <c r="AA31">
        <v>-10451</v>
      </c>
      <c r="AB31">
        <v>11985</v>
      </c>
      <c r="AC31">
        <v>-29605</v>
      </c>
      <c r="AD31">
        <v>-5357</v>
      </c>
      <c r="AE31">
        <v>22673</v>
      </c>
      <c r="AF31">
        <v>16685</v>
      </c>
      <c r="AG31">
        <v>9739</v>
      </c>
      <c r="AH31">
        <v>-7.4000000000000003E-3</v>
      </c>
      <c r="AI31">
        <v>-3422</v>
      </c>
      <c r="AJ31">
        <v>122045</v>
      </c>
      <c r="AK31">
        <v>-293</v>
      </c>
      <c r="AL31">
        <v>1247</v>
      </c>
      <c r="AM31">
        <v>25426</v>
      </c>
      <c r="AN31">
        <v>-20688</v>
      </c>
      <c r="AO31">
        <v>-17062</v>
      </c>
      <c r="AP31">
        <v>-20027</v>
      </c>
      <c r="AQ31">
        <v>14453</v>
      </c>
      <c r="AR31">
        <v>4402</v>
      </c>
    </row>
    <row r="32" spans="1:44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>
        <v>152008</v>
      </c>
      <c r="O32">
        <v>-42293</v>
      </c>
      <c r="P32">
        <v>-5105</v>
      </c>
      <c r="Q32">
        <v>-62554</v>
      </c>
      <c r="R32">
        <v>65878</v>
      </c>
      <c r="S32">
        <v>2134</v>
      </c>
      <c r="T32">
        <v>-47071</v>
      </c>
      <c r="U32">
        <v>-56518</v>
      </c>
      <c r="V32">
        <v>-38284</v>
      </c>
      <c r="W32">
        <v>26274</v>
      </c>
      <c r="X32">
        <v>-19906</v>
      </c>
      <c r="Y32">
        <v>56113</v>
      </c>
      <c r="Z32">
        <v>21301</v>
      </c>
      <c r="AA32">
        <v>45062</v>
      </c>
      <c r="AB32">
        <v>-26892</v>
      </c>
      <c r="AC32">
        <v>-2444</v>
      </c>
      <c r="AD32">
        <v>28763</v>
      </c>
      <c r="AE32">
        <v>-24547</v>
      </c>
      <c r="AF32">
        <v>-10732</v>
      </c>
      <c r="AG32">
        <v>-34365</v>
      </c>
      <c r="AH32">
        <v>6048</v>
      </c>
      <c r="AI32">
        <v>-9741</v>
      </c>
      <c r="AJ32">
        <v>7477</v>
      </c>
      <c r="AK32">
        <v>-6824</v>
      </c>
      <c r="AL32">
        <v>-421</v>
      </c>
      <c r="AM32">
        <v>-1801</v>
      </c>
      <c r="AN32">
        <v>-1538</v>
      </c>
      <c r="AO32">
        <v>-34043</v>
      </c>
      <c r="AP32">
        <v>-18262</v>
      </c>
      <c r="AQ32">
        <v>-7706</v>
      </c>
      <c r="AR32">
        <v>-29026</v>
      </c>
    </row>
    <row r="33" spans="1:44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>
        <v>12201</v>
      </c>
      <c r="O33">
        <v>-44012</v>
      </c>
      <c r="P33">
        <v>-73981</v>
      </c>
      <c r="Q33">
        <v>-108868</v>
      </c>
      <c r="R33">
        <v>118989</v>
      </c>
      <c r="S33">
        <v>-15844</v>
      </c>
      <c r="T33">
        <v>13179</v>
      </c>
      <c r="U33">
        <v>72559</v>
      </c>
      <c r="V33">
        <v>93246</v>
      </c>
      <c r="W33">
        <v>23901</v>
      </c>
      <c r="X33">
        <v>7613</v>
      </c>
      <c r="Y33">
        <v>57705</v>
      </c>
      <c r="Z33">
        <v>-49053</v>
      </c>
      <c r="AA33">
        <v>11052</v>
      </c>
      <c r="AB33">
        <v>3038</v>
      </c>
      <c r="AC33">
        <v>23055</v>
      </c>
      <c r="AD33">
        <v>45033</v>
      </c>
      <c r="AE33">
        <v>-2576</v>
      </c>
      <c r="AF33">
        <v>-1483</v>
      </c>
      <c r="AG33">
        <v>5135</v>
      </c>
      <c r="AH33">
        <v>-2854</v>
      </c>
      <c r="AI33">
        <v>-7438</v>
      </c>
      <c r="AJ33">
        <v>103129</v>
      </c>
      <c r="AK33">
        <v>1918</v>
      </c>
      <c r="AL33">
        <v>-1183</v>
      </c>
      <c r="AM33">
        <v>33145</v>
      </c>
      <c r="AN33">
        <v>43735</v>
      </c>
      <c r="AO33">
        <v>-15555</v>
      </c>
      <c r="AP33">
        <v>16017</v>
      </c>
      <c r="AQ33">
        <v>27456</v>
      </c>
      <c r="AR33">
        <v>-55594</v>
      </c>
    </row>
    <row r="34" spans="1:44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>
        <v>187747</v>
      </c>
      <c r="O34">
        <v>-33282</v>
      </c>
      <c r="P34">
        <v>-51445</v>
      </c>
      <c r="Q34">
        <v>-47583</v>
      </c>
      <c r="R34">
        <v>-648</v>
      </c>
      <c r="S34">
        <v>-2741</v>
      </c>
      <c r="T34">
        <v>24748</v>
      </c>
      <c r="U34">
        <v>-13127</v>
      </c>
      <c r="V34">
        <v>-24702</v>
      </c>
      <c r="W34">
        <v>-647</v>
      </c>
      <c r="X34">
        <v>-25734</v>
      </c>
      <c r="Y34">
        <v>20664</v>
      </c>
      <c r="Z34">
        <v>-16606</v>
      </c>
      <c r="AA34">
        <v>-24843</v>
      </c>
      <c r="AB34">
        <v>22065</v>
      </c>
      <c r="AC34">
        <v>-36647</v>
      </c>
      <c r="AD34">
        <v>-14203</v>
      </c>
      <c r="AE34">
        <v>34915</v>
      </c>
      <c r="AF34">
        <v>23793</v>
      </c>
      <c r="AG34">
        <v>21174</v>
      </c>
      <c r="AH34">
        <v>-1661</v>
      </c>
      <c r="AI34">
        <v>-1784</v>
      </c>
      <c r="AJ34">
        <v>134302</v>
      </c>
      <c r="AK34">
        <v>14</v>
      </c>
      <c r="AL34">
        <v>168</v>
      </c>
      <c r="AM34">
        <v>36687</v>
      </c>
      <c r="AN34">
        <v>-22064</v>
      </c>
      <c r="AO34">
        <v>-12659</v>
      </c>
      <c r="AP34">
        <v>-20485</v>
      </c>
      <c r="AQ34">
        <v>20198</v>
      </c>
      <c r="AR34">
        <v>13068</v>
      </c>
    </row>
    <row r="35" spans="1:44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>
        <v>159517</v>
      </c>
      <c r="O35">
        <v>41778</v>
      </c>
      <c r="P35">
        <v>-12923</v>
      </c>
      <c r="Q35">
        <v>13983</v>
      </c>
      <c r="R35">
        <v>529</v>
      </c>
      <c r="S35">
        <v>115828</v>
      </c>
      <c r="T35">
        <v>39797</v>
      </c>
      <c r="U35">
        <v>109778</v>
      </c>
      <c r="V35">
        <v>-678</v>
      </c>
      <c r="W35">
        <v>-5729</v>
      </c>
      <c r="X35">
        <v>-12464</v>
      </c>
      <c r="Y35">
        <v>-1024</v>
      </c>
      <c r="Z35">
        <v>67881</v>
      </c>
      <c r="AA35">
        <v>4755</v>
      </c>
      <c r="AB35">
        <v>51928</v>
      </c>
      <c r="AC35">
        <v>-60996</v>
      </c>
      <c r="AD35">
        <v>-35922</v>
      </c>
      <c r="AE35">
        <v>22676</v>
      </c>
      <c r="AF35">
        <v>22783</v>
      </c>
      <c r="AG35">
        <v>2591</v>
      </c>
      <c r="AH35">
        <v>-13585</v>
      </c>
      <c r="AI35">
        <v>3616</v>
      </c>
      <c r="AJ35">
        <v>81859</v>
      </c>
      <c r="AK35">
        <v>16376</v>
      </c>
      <c r="AL35">
        <v>282</v>
      </c>
      <c r="AM35">
        <v>-59922</v>
      </c>
      <c r="AN35">
        <v>7789</v>
      </c>
      <c r="AO35">
        <v>29002</v>
      </c>
      <c r="AP35">
        <v>-3691</v>
      </c>
      <c r="AQ35">
        <v>-21729</v>
      </c>
      <c r="AR35">
        <v>-38388</v>
      </c>
    </row>
    <row r="36" spans="1:44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>
        <v>138495</v>
      </c>
      <c r="O36">
        <v>36477</v>
      </c>
      <c r="P36">
        <v>-128998</v>
      </c>
      <c r="Q36">
        <v>5176</v>
      </c>
      <c r="R36">
        <v>39663</v>
      </c>
      <c r="S36">
        <v>144505</v>
      </c>
      <c r="T36">
        <v>-2449</v>
      </c>
      <c r="U36">
        <v>84254</v>
      </c>
      <c r="V36">
        <v>-75789</v>
      </c>
      <c r="W36">
        <v>-38029</v>
      </c>
      <c r="X36">
        <v>-9036</v>
      </c>
      <c r="Y36">
        <v>10612</v>
      </c>
      <c r="Z36">
        <v>90179</v>
      </c>
      <c r="AA36">
        <v>45875</v>
      </c>
      <c r="AB36">
        <v>2313</v>
      </c>
      <c r="AC36">
        <v>-40876</v>
      </c>
      <c r="AD36">
        <v>-10648</v>
      </c>
      <c r="AE36">
        <v>-12302</v>
      </c>
      <c r="AF36">
        <v>2474</v>
      </c>
      <c r="AG36">
        <v>-30079</v>
      </c>
      <c r="AH36">
        <v>-9051</v>
      </c>
      <c r="AI36">
        <v>-1064</v>
      </c>
      <c r="AJ36">
        <v>4684</v>
      </c>
      <c r="AK36">
        <v>11538</v>
      </c>
      <c r="AL36">
        <v>1584</v>
      </c>
      <c r="AM36">
        <v>-92097</v>
      </c>
      <c r="AN36">
        <v>11721</v>
      </c>
      <c r="AO36">
        <v>16423</v>
      </c>
      <c r="AP36">
        <v>-35602</v>
      </c>
      <c r="AQ36">
        <v>-38143</v>
      </c>
      <c r="AR36">
        <v>-63149</v>
      </c>
    </row>
    <row r="37" spans="1:44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>
        <v>174082</v>
      </c>
      <c r="O37">
        <v>-36727</v>
      </c>
      <c r="P37">
        <v>-51294</v>
      </c>
      <c r="Q37">
        <v>-53307</v>
      </c>
      <c r="R37">
        <v>24788</v>
      </c>
      <c r="S37">
        <v>-877</v>
      </c>
      <c r="T37">
        <v>-2712</v>
      </c>
      <c r="U37">
        <v>-29718</v>
      </c>
      <c r="V37">
        <v>-29895</v>
      </c>
      <c r="W37">
        <v>605</v>
      </c>
      <c r="X37">
        <v>-23506</v>
      </c>
      <c r="Y37">
        <v>34218</v>
      </c>
      <c r="Z37">
        <v>-2112</v>
      </c>
      <c r="AA37">
        <v>1885</v>
      </c>
      <c r="AB37">
        <v>3346</v>
      </c>
      <c r="AC37">
        <v>-2357</v>
      </c>
      <c r="AD37">
        <v>2225</v>
      </c>
      <c r="AE37">
        <v>1218</v>
      </c>
      <c r="AF37">
        <v>10592</v>
      </c>
      <c r="AG37">
        <v>-6.1000000000000004E-3</v>
      </c>
      <c r="AH37">
        <v>1287</v>
      </c>
      <c r="AI37">
        <v>-4826</v>
      </c>
      <c r="AJ37">
        <v>11154</v>
      </c>
      <c r="AK37">
        <v>-1744</v>
      </c>
      <c r="AL37">
        <v>877</v>
      </c>
      <c r="AM37">
        <v>15773</v>
      </c>
      <c r="AN37">
        <v>-19509</v>
      </c>
      <c r="AO37">
        <v>-20835</v>
      </c>
      <c r="AP37">
        <v>-19635</v>
      </c>
      <c r="AQ37">
        <v>9529</v>
      </c>
      <c r="AR37">
        <v>-3026</v>
      </c>
    </row>
    <row r="38" spans="1:44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>
        <v>155162</v>
      </c>
      <c r="O38">
        <v>-41498</v>
      </c>
      <c r="P38">
        <v>-51085</v>
      </c>
      <c r="Q38">
        <v>-61233</v>
      </c>
      <c r="R38">
        <v>60008</v>
      </c>
      <c r="S38">
        <v>17039</v>
      </c>
      <c r="T38">
        <v>-40734</v>
      </c>
      <c r="U38">
        <v>-52689</v>
      </c>
      <c r="V38">
        <v>-37085</v>
      </c>
      <c r="W38">
        <v>23384</v>
      </c>
      <c r="X38">
        <v>-20421</v>
      </c>
      <c r="Y38">
        <v>52985</v>
      </c>
      <c r="Z38">
        <v>17957</v>
      </c>
      <c r="AA38">
        <v>38894</v>
      </c>
      <c r="AB38">
        <v>-22572</v>
      </c>
      <c r="AC38">
        <v>-5462</v>
      </c>
      <c r="AD38">
        <v>24972</v>
      </c>
      <c r="AE38">
        <v>-193</v>
      </c>
      <c r="AF38">
        <v>-7686</v>
      </c>
      <c r="AG38">
        <v>-29464</v>
      </c>
      <c r="AH38">
        <v>5367</v>
      </c>
      <c r="AI38">
        <v>-9039</v>
      </c>
      <c r="AJ38">
        <v>80023</v>
      </c>
      <c r="AK38">
        <v>-6098</v>
      </c>
      <c r="AL38">
        <v>-236</v>
      </c>
      <c r="AM38">
        <v>-13184</v>
      </c>
      <c r="AN38">
        <v>-1597</v>
      </c>
      <c r="AO38">
        <v>-32156</v>
      </c>
      <c r="AP38">
        <v>-18458</v>
      </c>
      <c r="AQ38">
        <v>-5244</v>
      </c>
      <c r="AR38">
        <v>-25312</v>
      </c>
    </row>
    <row r="39" spans="1:44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>
        <v>135343</v>
      </c>
      <c r="O39">
        <v>-42125</v>
      </c>
      <c r="P39">
        <v>-47449</v>
      </c>
      <c r="Q39">
        <v>-12098</v>
      </c>
      <c r="R39">
        <v>-8504</v>
      </c>
      <c r="S39">
        <v>-96669</v>
      </c>
      <c r="T39">
        <v>-21409</v>
      </c>
      <c r="U39">
        <v>-37054</v>
      </c>
      <c r="V39">
        <v>-76782</v>
      </c>
      <c r="W39">
        <v>-79351</v>
      </c>
      <c r="X39">
        <v>84869</v>
      </c>
      <c r="Y39">
        <v>3673</v>
      </c>
      <c r="Z39">
        <v>-6564</v>
      </c>
      <c r="AA39">
        <v>-29164</v>
      </c>
      <c r="AB39">
        <v>8167</v>
      </c>
      <c r="AC39">
        <v>26324</v>
      </c>
      <c r="AD39">
        <v>-8152</v>
      </c>
      <c r="AE39">
        <v>52908</v>
      </c>
      <c r="AF39">
        <v>1918</v>
      </c>
      <c r="AG39">
        <v>21403</v>
      </c>
      <c r="AH39">
        <v>-12549</v>
      </c>
      <c r="AI39">
        <v>-15056</v>
      </c>
      <c r="AJ39">
        <v>105951</v>
      </c>
      <c r="AK39">
        <v>-1712</v>
      </c>
      <c r="AL39">
        <v>-1</v>
      </c>
      <c r="AM39">
        <v>17861</v>
      </c>
      <c r="AN39">
        <v>-9869</v>
      </c>
      <c r="AO39">
        <v>-28932</v>
      </c>
      <c r="AP39">
        <v>-4489</v>
      </c>
      <c r="AQ39">
        <v>34775</v>
      </c>
      <c r="AR39">
        <v>-3765</v>
      </c>
    </row>
    <row r="40" spans="1:44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>
        <v>41068</v>
      </c>
      <c r="O40">
        <v>212949</v>
      </c>
      <c r="P40">
        <v>-195264</v>
      </c>
      <c r="Q40">
        <v>34299</v>
      </c>
      <c r="R40">
        <v>-42761</v>
      </c>
      <c r="S40">
        <v>154375</v>
      </c>
      <c r="T40">
        <v>-42372</v>
      </c>
      <c r="U40">
        <v>27188</v>
      </c>
      <c r="V40">
        <v>-659</v>
      </c>
      <c r="W40">
        <v>-3236</v>
      </c>
      <c r="X40">
        <v>39212</v>
      </c>
      <c r="Y40">
        <v>-119708</v>
      </c>
      <c r="Z40">
        <v>88253</v>
      </c>
      <c r="AA40">
        <v>-49088</v>
      </c>
      <c r="AB40">
        <v>80144</v>
      </c>
      <c r="AC40">
        <v>-27107</v>
      </c>
      <c r="AD40">
        <v>-20609</v>
      </c>
      <c r="AE40">
        <v>-103366</v>
      </c>
      <c r="AF40">
        <v>-60628</v>
      </c>
      <c r="AG40">
        <v>14072</v>
      </c>
      <c r="AH40">
        <v>20585</v>
      </c>
      <c r="AI40">
        <v>48809</v>
      </c>
      <c r="AJ40">
        <v>108783</v>
      </c>
      <c r="AK40">
        <v>-13662</v>
      </c>
      <c r="AL40">
        <v>-1024</v>
      </c>
      <c r="AM40">
        <v>451</v>
      </c>
      <c r="AN40">
        <v>-1341</v>
      </c>
      <c r="AO40">
        <v>-3873</v>
      </c>
      <c r="AP40">
        <v>2225</v>
      </c>
      <c r="AQ40">
        <v>-144677</v>
      </c>
      <c r="AR40">
        <v>5489</v>
      </c>
    </row>
    <row r="41" spans="1:44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>
        <v>-573</v>
      </c>
      <c r="O41">
        <v>-116815</v>
      </c>
      <c r="P41">
        <v>-181939</v>
      </c>
      <c r="Q41">
        <v>-8258</v>
      </c>
      <c r="R41">
        <v>-32158</v>
      </c>
      <c r="S41">
        <v>19622</v>
      </c>
      <c r="T41">
        <v>27647</v>
      </c>
      <c r="U41">
        <v>291953</v>
      </c>
      <c r="V41">
        <v>15089</v>
      </c>
      <c r="W41">
        <v>61839</v>
      </c>
      <c r="X41">
        <v>11323</v>
      </c>
      <c r="Y41">
        <v>-202956</v>
      </c>
      <c r="Z41">
        <v>-189466</v>
      </c>
      <c r="AA41">
        <v>33786</v>
      </c>
      <c r="AB41">
        <v>-193602</v>
      </c>
      <c r="AC41">
        <v>210301</v>
      </c>
      <c r="AD41">
        <v>7531</v>
      </c>
      <c r="AE41">
        <v>-95853</v>
      </c>
      <c r="AF41">
        <v>-46023</v>
      </c>
      <c r="AG41">
        <v>32999</v>
      </c>
      <c r="AH41">
        <v>-145224</v>
      </c>
      <c r="AI41">
        <v>-75127</v>
      </c>
      <c r="AJ41">
        <v>31062</v>
      </c>
      <c r="AK41">
        <v>35344</v>
      </c>
      <c r="AL41">
        <v>1325</v>
      </c>
      <c r="AM41">
        <v>-22857</v>
      </c>
      <c r="AN41">
        <v>-10981</v>
      </c>
      <c r="AO41">
        <v>310793</v>
      </c>
      <c r="AP41">
        <v>-45061</v>
      </c>
      <c r="AQ41">
        <v>-97172</v>
      </c>
      <c r="AR41">
        <v>-108316</v>
      </c>
    </row>
    <row r="42" spans="1:44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>
        <v>154262</v>
      </c>
      <c r="O42">
        <v>40453</v>
      </c>
      <c r="P42">
        <v>-129172</v>
      </c>
      <c r="Q42">
        <v>11781</v>
      </c>
      <c r="R42">
        <v>10313</v>
      </c>
      <c r="S42">
        <v>122997</v>
      </c>
      <c r="T42">
        <v>29235</v>
      </c>
      <c r="U42">
        <v>103397</v>
      </c>
      <c r="V42">
        <v>-69798</v>
      </c>
      <c r="W42">
        <v>-52474</v>
      </c>
      <c r="X42">
        <v>-11607</v>
      </c>
      <c r="Y42">
        <v>-5027</v>
      </c>
      <c r="Z42">
        <v>73455</v>
      </c>
      <c r="AA42">
        <v>15035</v>
      </c>
      <c r="AB42">
        <v>44728</v>
      </c>
      <c r="AC42">
        <v>-55966</v>
      </c>
      <c r="AD42">
        <v>-29603</v>
      </c>
      <c r="AE42">
        <v>13932</v>
      </c>
      <c r="AF42">
        <v>17705</v>
      </c>
      <c r="AG42">
        <v>-5577</v>
      </c>
      <c r="AH42">
        <v>-12452</v>
      </c>
      <c r="AI42">
        <v>2446</v>
      </c>
      <c r="AJ42">
        <v>73104</v>
      </c>
      <c r="AK42">
        <v>15167</v>
      </c>
      <c r="AL42">
        <v>2511</v>
      </c>
      <c r="AM42">
        <v>-67966</v>
      </c>
      <c r="AN42">
        <v>8772</v>
      </c>
      <c r="AO42">
        <v>25857</v>
      </c>
      <c r="AP42">
        <v>-36583</v>
      </c>
      <c r="AQ42">
        <v>-25833</v>
      </c>
      <c r="AR42">
        <v>-44578</v>
      </c>
    </row>
    <row r="43" spans="1:44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>
        <v>-89347</v>
      </c>
      <c r="O43">
        <v>-68937</v>
      </c>
      <c r="P43">
        <v>-28034</v>
      </c>
      <c r="Q43">
        <v>-38402</v>
      </c>
      <c r="R43">
        <v>-86085</v>
      </c>
      <c r="S43">
        <v>2123</v>
      </c>
      <c r="T43">
        <v>14159</v>
      </c>
      <c r="U43">
        <v>37885</v>
      </c>
      <c r="V43">
        <v>2855</v>
      </c>
      <c r="W43">
        <v>37945</v>
      </c>
      <c r="X43">
        <v>-82001</v>
      </c>
      <c r="Y43">
        <v>44339</v>
      </c>
      <c r="Z43">
        <v>48148</v>
      </c>
      <c r="AA43">
        <v>87916</v>
      </c>
      <c r="AB43">
        <v>92422</v>
      </c>
      <c r="AC43">
        <v>-6188</v>
      </c>
      <c r="AD43">
        <v>-111918</v>
      </c>
      <c r="AE43">
        <v>81068</v>
      </c>
      <c r="AF43">
        <v>89624</v>
      </c>
      <c r="AG43">
        <v>-113</v>
      </c>
      <c r="AH43">
        <v>151843</v>
      </c>
      <c r="AI43">
        <v>-203992</v>
      </c>
      <c r="AJ43">
        <v>135063</v>
      </c>
      <c r="AK43">
        <v>164867</v>
      </c>
      <c r="AL43">
        <v>854</v>
      </c>
      <c r="AM43">
        <v>65641</v>
      </c>
      <c r="AN43">
        <v>-74756</v>
      </c>
      <c r="AO43">
        <v>-56624</v>
      </c>
      <c r="AP43">
        <v>-4524</v>
      </c>
      <c r="AQ43">
        <v>9715</v>
      </c>
      <c r="AR43">
        <v>39699</v>
      </c>
    </row>
    <row r="44" spans="1:44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>
        <v>-289818</v>
      </c>
      <c r="O44">
        <v>13791</v>
      </c>
      <c r="P44">
        <v>-55748</v>
      </c>
      <c r="Q44">
        <v>-76551</v>
      </c>
      <c r="R44">
        <v>116121</v>
      </c>
      <c r="S44">
        <v>54334</v>
      </c>
      <c r="T44">
        <v>-110669</v>
      </c>
      <c r="U44">
        <v>-17848</v>
      </c>
      <c r="V44">
        <v>-31956</v>
      </c>
      <c r="W44">
        <v>208499</v>
      </c>
      <c r="X44">
        <v>78662</v>
      </c>
      <c r="Y44">
        <v>-244313</v>
      </c>
      <c r="Z44">
        <v>97386</v>
      </c>
      <c r="AA44">
        <v>-12508</v>
      </c>
      <c r="AB44">
        <v>2042</v>
      </c>
      <c r="AC44">
        <v>52225</v>
      </c>
      <c r="AD44">
        <v>-16375</v>
      </c>
      <c r="AE44">
        <v>45933</v>
      </c>
      <c r="AF44">
        <v>999</v>
      </c>
      <c r="AG44">
        <v>56899</v>
      </c>
      <c r="AH44">
        <v>-1559</v>
      </c>
      <c r="AI44">
        <v>21313</v>
      </c>
      <c r="AJ44">
        <v>-48131</v>
      </c>
      <c r="AK44">
        <v>49043</v>
      </c>
      <c r="AL44">
        <v>-383</v>
      </c>
      <c r="AM44">
        <v>-6722</v>
      </c>
      <c r="AN44">
        <v>-3628</v>
      </c>
      <c r="AO44">
        <v>-49413</v>
      </c>
      <c r="AP44">
        <v>-18406</v>
      </c>
      <c r="AQ44">
        <v>-40366</v>
      </c>
      <c r="AR44">
        <v>124031</v>
      </c>
    </row>
    <row r="45" spans="1:44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>
        <v>-29192</v>
      </c>
      <c r="O45">
        <v>13738</v>
      </c>
      <c r="P45">
        <v>-55725</v>
      </c>
      <c r="Q45">
        <v>-77432</v>
      </c>
      <c r="R45">
        <v>120035</v>
      </c>
      <c r="S45">
        <v>57202</v>
      </c>
      <c r="T45">
        <v>-114893</v>
      </c>
      <c r="U45">
        <v>-181032</v>
      </c>
      <c r="V45">
        <v>-32755</v>
      </c>
      <c r="W45">
        <v>210425</v>
      </c>
      <c r="X45">
        <v>79005</v>
      </c>
      <c r="Y45">
        <v>-242228</v>
      </c>
      <c r="Z45">
        <v>99616</v>
      </c>
      <c r="AA45">
        <v>-8396</v>
      </c>
      <c r="AB45">
        <v>-837</v>
      </c>
      <c r="AC45">
        <v>54237</v>
      </c>
      <c r="AD45">
        <v>-161223</v>
      </c>
      <c r="AE45">
        <v>42435</v>
      </c>
      <c r="AF45">
        <v>-1032</v>
      </c>
      <c r="AG45">
        <v>53632</v>
      </c>
      <c r="AH45">
        <v>-1106</v>
      </c>
      <c r="AI45">
        <v>20845</v>
      </c>
      <c r="AJ45">
        <v>-51633</v>
      </c>
      <c r="AK45">
        <v>48559</v>
      </c>
      <c r="AL45">
        <v>-506</v>
      </c>
      <c r="AM45">
        <v>-994</v>
      </c>
      <c r="AN45">
        <v>-35887</v>
      </c>
      <c r="AO45">
        <v>-50671</v>
      </c>
      <c r="AP45">
        <v>-18275</v>
      </c>
      <c r="AQ45">
        <v>-42008</v>
      </c>
      <c r="AR45">
        <v>121555</v>
      </c>
    </row>
    <row r="46" spans="1:44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>
        <v>-76756</v>
      </c>
      <c r="O46">
        <v>79826</v>
      </c>
      <c r="P46">
        <v>-111876</v>
      </c>
      <c r="Q46">
        <v>149481</v>
      </c>
      <c r="R46">
        <v>-24174</v>
      </c>
      <c r="S46">
        <v>7676</v>
      </c>
      <c r="T46">
        <v>49593</v>
      </c>
      <c r="U46">
        <v>101627</v>
      </c>
      <c r="V46">
        <v>-138465</v>
      </c>
      <c r="W46">
        <v>-68638</v>
      </c>
      <c r="X46">
        <v>-126046</v>
      </c>
      <c r="Y46">
        <v>-23147</v>
      </c>
      <c r="Z46">
        <v>-15536</v>
      </c>
      <c r="AA46">
        <v>-111626</v>
      </c>
      <c r="AB46">
        <v>-4257</v>
      </c>
      <c r="AC46">
        <v>-149487</v>
      </c>
      <c r="AD46">
        <v>137169</v>
      </c>
      <c r="AE46">
        <v>-73694</v>
      </c>
      <c r="AF46">
        <v>-47747</v>
      </c>
      <c r="AG46">
        <v>-20854</v>
      </c>
      <c r="AH46">
        <v>-4893</v>
      </c>
      <c r="AI46">
        <v>7873</v>
      </c>
      <c r="AJ46">
        <v>-4172</v>
      </c>
      <c r="AK46">
        <v>4713</v>
      </c>
      <c r="AL46">
        <v>2647</v>
      </c>
      <c r="AM46">
        <v>1813</v>
      </c>
      <c r="AN46">
        <v>160114</v>
      </c>
      <c r="AO46">
        <v>-39142</v>
      </c>
      <c r="AP46">
        <v>99448</v>
      </c>
      <c r="AQ46">
        <v>54852</v>
      </c>
      <c r="AR46">
        <v>-22778</v>
      </c>
    </row>
    <row r="47" spans="1:44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>
        <v>8483</v>
      </c>
      <c r="O47">
        <v>1278</v>
      </c>
      <c r="P47">
        <v>-60459</v>
      </c>
      <c r="Q47">
        <v>47702</v>
      </c>
      <c r="R47">
        <v>-178583</v>
      </c>
      <c r="S47">
        <v>-268407</v>
      </c>
      <c r="T47">
        <v>-40004</v>
      </c>
      <c r="U47">
        <v>-10939</v>
      </c>
      <c r="V47">
        <v>144641</v>
      </c>
      <c r="W47">
        <v>-84543</v>
      </c>
      <c r="X47">
        <v>-79532</v>
      </c>
      <c r="Y47">
        <v>-30661</v>
      </c>
      <c r="Z47">
        <v>-61068</v>
      </c>
      <c r="AA47">
        <v>-18302</v>
      </c>
      <c r="AB47">
        <v>47349</v>
      </c>
      <c r="AC47">
        <v>9948</v>
      </c>
      <c r="AD47">
        <v>-34827</v>
      </c>
      <c r="AE47">
        <v>38371</v>
      </c>
      <c r="AF47">
        <v>-23328</v>
      </c>
      <c r="AG47">
        <v>29937</v>
      </c>
      <c r="AH47">
        <v>4228</v>
      </c>
      <c r="AI47">
        <v>1803</v>
      </c>
      <c r="AJ47">
        <v>-63352</v>
      </c>
      <c r="AK47">
        <v>-32995</v>
      </c>
      <c r="AL47">
        <v>-3464</v>
      </c>
      <c r="AM47">
        <v>-15523</v>
      </c>
      <c r="AN47">
        <v>139</v>
      </c>
      <c r="AO47">
        <v>-3253</v>
      </c>
      <c r="AP47">
        <v>-188993</v>
      </c>
      <c r="AQ47">
        <v>40545</v>
      </c>
      <c r="AR47">
        <v>-13934</v>
      </c>
    </row>
    <row r="48" spans="1:44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>
        <v>67778</v>
      </c>
      <c r="O48">
        <v>114121</v>
      </c>
      <c r="P48">
        <v>44766</v>
      </c>
      <c r="Q48">
        <v>1461</v>
      </c>
      <c r="R48">
        <v>-155373</v>
      </c>
      <c r="S48">
        <v>72626</v>
      </c>
      <c r="T48">
        <v>147444</v>
      </c>
      <c r="U48">
        <v>-21485</v>
      </c>
      <c r="V48">
        <v>-96528</v>
      </c>
      <c r="W48">
        <v>-203888</v>
      </c>
      <c r="X48">
        <v>128503</v>
      </c>
      <c r="Y48">
        <v>-30417</v>
      </c>
      <c r="Z48">
        <v>-29068</v>
      </c>
      <c r="AA48">
        <v>-26012</v>
      </c>
      <c r="AB48">
        <v>77617</v>
      </c>
      <c r="AC48">
        <v>14674</v>
      </c>
      <c r="AD48">
        <v>-4883</v>
      </c>
      <c r="AE48">
        <v>-50208</v>
      </c>
      <c r="AF48">
        <v>373</v>
      </c>
      <c r="AG48">
        <v>17245</v>
      </c>
      <c r="AH48">
        <v>-1144</v>
      </c>
      <c r="AI48">
        <v>19135</v>
      </c>
      <c r="AJ48">
        <v>-44521</v>
      </c>
      <c r="AK48">
        <v>-11818</v>
      </c>
      <c r="AL48">
        <v>-1344</v>
      </c>
      <c r="AM48">
        <v>-266351</v>
      </c>
      <c r="AN48">
        <v>65515</v>
      </c>
      <c r="AO48">
        <v>46434</v>
      </c>
      <c r="AP48">
        <v>96401</v>
      </c>
      <c r="AQ48">
        <v>45668</v>
      </c>
      <c r="AR48">
        <v>-86291</v>
      </c>
    </row>
    <row r="49" spans="1:44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>
        <v>93905</v>
      </c>
      <c r="O49">
        <v>38531</v>
      </c>
      <c r="P49">
        <v>122574</v>
      </c>
      <c r="Q49">
        <v>-60986</v>
      </c>
      <c r="R49">
        <v>-152637</v>
      </c>
      <c r="S49">
        <v>-67745</v>
      </c>
      <c r="T49">
        <v>128171</v>
      </c>
      <c r="U49">
        <v>-146942</v>
      </c>
      <c r="V49">
        <v>-54229</v>
      </c>
      <c r="W49">
        <v>-151142</v>
      </c>
      <c r="X49">
        <v>115577</v>
      </c>
      <c r="Y49">
        <v>2572</v>
      </c>
      <c r="Z49">
        <v>-111324</v>
      </c>
      <c r="AA49">
        <v>-51498</v>
      </c>
      <c r="AB49">
        <v>44874</v>
      </c>
      <c r="AC49">
        <v>41034</v>
      </c>
      <c r="AD49">
        <v>-24583</v>
      </c>
      <c r="AE49">
        <v>-41466</v>
      </c>
      <c r="AF49">
        <v>-648</v>
      </c>
      <c r="AG49">
        <v>32561</v>
      </c>
      <c r="AH49">
        <v>11234</v>
      </c>
      <c r="AI49">
        <v>13266</v>
      </c>
      <c r="AJ49">
        <v>442</v>
      </c>
      <c r="AK49">
        <v>-27278</v>
      </c>
      <c r="AL49">
        <v>-2607</v>
      </c>
      <c r="AM49">
        <v>-172959</v>
      </c>
      <c r="AN49">
        <v>36055</v>
      </c>
      <c r="AO49">
        <v>3515</v>
      </c>
      <c r="AP49">
        <v>112957</v>
      </c>
      <c r="AQ49">
        <v>85954</v>
      </c>
      <c r="AR49">
        <v>-37311</v>
      </c>
    </row>
    <row r="50" spans="1:44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>
        <v>88442</v>
      </c>
      <c r="O50">
        <v>-16424</v>
      </c>
      <c r="P50">
        <v>2823</v>
      </c>
      <c r="Q50">
        <v>31467</v>
      </c>
      <c r="R50">
        <v>-21461</v>
      </c>
      <c r="S50">
        <v>-114259</v>
      </c>
      <c r="T50">
        <v>-76676</v>
      </c>
      <c r="U50">
        <v>-52653</v>
      </c>
      <c r="V50">
        <v>-6411</v>
      </c>
      <c r="W50">
        <v>-114297</v>
      </c>
      <c r="X50">
        <v>63743</v>
      </c>
      <c r="Y50">
        <v>-25408</v>
      </c>
      <c r="Z50">
        <v>-116833</v>
      </c>
      <c r="AA50">
        <v>60108</v>
      </c>
      <c r="AB50">
        <v>4318</v>
      </c>
      <c r="AC50">
        <v>-26982</v>
      </c>
      <c r="AD50">
        <v>-10108</v>
      </c>
      <c r="AE50">
        <v>-18836</v>
      </c>
      <c r="AF50">
        <v>2429</v>
      </c>
      <c r="AG50">
        <v>-8917</v>
      </c>
      <c r="AH50">
        <v>8643</v>
      </c>
      <c r="AI50">
        <v>27</v>
      </c>
      <c r="AJ50">
        <v>3245</v>
      </c>
      <c r="AK50">
        <v>-1354</v>
      </c>
      <c r="AL50">
        <v>-277</v>
      </c>
      <c r="AM50">
        <v>-70036</v>
      </c>
      <c r="AN50">
        <v>3886</v>
      </c>
      <c r="AO50">
        <v>-3757</v>
      </c>
      <c r="AP50">
        <v>-12414</v>
      </c>
      <c r="AQ50">
        <v>53299</v>
      </c>
      <c r="AR50">
        <v>2786</v>
      </c>
    </row>
    <row r="51" spans="1:44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>
        <v>53348</v>
      </c>
      <c r="O51">
        <v>-159</v>
      </c>
      <c r="P51">
        <v>11974</v>
      </c>
      <c r="Q51">
        <v>-12589</v>
      </c>
      <c r="R51">
        <v>-83601</v>
      </c>
      <c r="S51">
        <v>-121478</v>
      </c>
      <c r="T51">
        <v>-196116</v>
      </c>
      <c r="U51">
        <v>94497</v>
      </c>
      <c r="V51">
        <v>5637</v>
      </c>
      <c r="W51">
        <v>-193032</v>
      </c>
      <c r="X51">
        <v>-11339</v>
      </c>
      <c r="Y51">
        <v>-4725</v>
      </c>
      <c r="Z51">
        <v>15297</v>
      </c>
      <c r="AA51">
        <v>-5142</v>
      </c>
      <c r="AB51">
        <v>90031</v>
      </c>
      <c r="AC51">
        <v>-4539</v>
      </c>
      <c r="AD51">
        <v>-47742</v>
      </c>
      <c r="AE51">
        <v>22892</v>
      </c>
      <c r="AF51">
        <v>234</v>
      </c>
      <c r="AG51">
        <v>-6673</v>
      </c>
      <c r="AH51">
        <v>-26727</v>
      </c>
      <c r="AI51">
        <v>50833</v>
      </c>
      <c r="AJ51">
        <v>21543</v>
      </c>
      <c r="AK51">
        <v>61307</v>
      </c>
      <c r="AL51">
        <v>456</v>
      </c>
      <c r="AM51">
        <v>-177345</v>
      </c>
      <c r="AN51">
        <v>9683</v>
      </c>
      <c r="AO51">
        <v>-35706</v>
      </c>
      <c r="AP51">
        <v>108173</v>
      </c>
      <c r="AQ51">
        <v>-86892</v>
      </c>
      <c r="AR51">
        <v>132703</v>
      </c>
    </row>
    <row r="52" spans="1:44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>
        <v>48983</v>
      </c>
      <c r="O52">
        <v>-20528</v>
      </c>
      <c r="P52">
        <v>5404</v>
      </c>
      <c r="Q52">
        <v>-18809</v>
      </c>
      <c r="R52">
        <v>49259</v>
      </c>
      <c r="S52">
        <v>-138539</v>
      </c>
      <c r="T52">
        <v>-35437</v>
      </c>
      <c r="U52">
        <v>64938</v>
      </c>
      <c r="V52">
        <v>63825</v>
      </c>
      <c r="W52">
        <v>-108002</v>
      </c>
      <c r="X52">
        <v>161322</v>
      </c>
      <c r="Y52">
        <v>-14432</v>
      </c>
      <c r="Z52">
        <v>-177154</v>
      </c>
      <c r="AA52">
        <v>44602</v>
      </c>
      <c r="AB52">
        <v>60151</v>
      </c>
      <c r="AC52">
        <v>7571</v>
      </c>
      <c r="AD52">
        <v>17535</v>
      </c>
      <c r="AE52">
        <v>-12605</v>
      </c>
      <c r="AF52">
        <v>244</v>
      </c>
      <c r="AG52">
        <v>15881</v>
      </c>
      <c r="AH52">
        <v>1782</v>
      </c>
      <c r="AI52">
        <v>2896</v>
      </c>
      <c r="AJ52">
        <v>15846</v>
      </c>
      <c r="AK52">
        <v>-6975</v>
      </c>
      <c r="AL52">
        <v>-4088</v>
      </c>
      <c r="AM52">
        <v>-33359</v>
      </c>
      <c r="AN52">
        <v>99745</v>
      </c>
      <c r="AO52">
        <v>-24743</v>
      </c>
      <c r="AP52">
        <v>22453</v>
      </c>
      <c r="AQ52">
        <v>81074</v>
      </c>
      <c r="AR52">
        <v>-34926</v>
      </c>
    </row>
    <row r="53" spans="1:44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>
        <v>53906</v>
      </c>
      <c r="O53">
        <v>57046</v>
      </c>
      <c r="P53">
        <v>-49485</v>
      </c>
      <c r="Q53">
        <v>90391</v>
      </c>
      <c r="R53">
        <v>-8544</v>
      </c>
      <c r="S53">
        <v>37582</v>
      </c>
      <c r="T53">
        <v>-74301</v>
      </c>
      <c r="U53">
        <v>62595</v>
      </c>
      <c r="V53">
        <v>-109604</v>
      </c>
      <c r="W53">
        <v>-159339</v>
      </c>
      <c r="X53">
        <v>78041</v>
      </c>
      <c r="Y53">
        <v>-50057</v>
      </c>
      <c r="Z53">
        <v>-25657</v>
      </c>
      <c r="AA53">
        <v>102042</v>
      </c>
      <c r="AB53">
        <v>64404</v>
      </c>
      <c r="AC53">
        <v>-45295</v>
      </c>
      <c r="AD53">
        <v>-24245</v>
      </c>
      <c r="AE53">
        <v>-41569</v>
      </c>
      <c r="AF53">
        <v>17187</v>
      </c>
      <c r="AG53">
        <v>-37301</v>
      </c>
      <c r="AH53">
        <v>-1921</v>
      </c>
      <c r="AI53">
        <v>6696</v>
      </c>
      <c r="AJ53">
        <v>-59704</v>
      </c>
      <c r="AK53">
        <v>-1.5E-3</v>
      </c>
      <c r="AL53">
        <v>-2001</v>
      </c>
      <c r="AM53">
        <v>-176297</v>
      </c>
      <c r="AN53">
        <v>69892</v>
      </c>
      <c r="AO53">
        <v>317</v>
      </c>
      <c r="AP53">
        <v>-28447</v>
      </c>
      <c r="AQ53">
        <v>6448</v>
      </c>
      <c r="AR53">
        <v>-56099</v>
      </c>
    </row>
    <row r="54" spans="1:44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>
        <v>107363</v>
      </c>
      <c r="O54">
        <v>-11653</v>
      </c>
      <c r="P54">
        <v>28021</v>
      </c>
      <c r="Q54">
        <v>39393</v>
      </c>
      <c r="R54">
        <v>-56681</v>
      </c>
      <c r="S54">
        <v>-140068</v>
      </c>
      <c r="T54">
        <v>-38654</v>
      </c>
      <c r="U54">
        <v>-29681</v>
      </c>
      <c r="V54">
        <v>-5692</v>
      </c>
      <c r="W54">
        <v>-131632</v>
      </c>
      <c r="X54">
        <v>60658</v>
      </c>
      <c r="Y54">
        <v>-44176</v>
      </c>
      <c r="Z54">
        <v>-136902</v>
      </c>
      <c r="AA54">
        <v>231</v>
      </c>
      <c r="AB54">
        <v>69099</v>
      </c>
      <c r="AC54">
        <v>-4509</v>
      </c>
      <c r="AD54">
        <v>-32855</v>
      </c>
      <c r="AE54">
        <v>12644</v>
      </c>
      <c r="AF54">
        <v>42568</v>
      </c>
      <c r="AG54">
        <v>20486</v>
      </c>
      <c r="AH54">
        <v>4562</v>
      </c>
      <c r="AI54">
        <v>6912</v>
      </c>
      <c r="AJ54">
        <v>34762</v>
      </c>
      <c r="AK54">
        <v>-9186</v>
      </c>
      <c r="AL54">
        <v>-1657</v>
      </c>
      <c r="AM54">
        <v>-41079</v>
      </c>
      <c r="AN54">
        <v>35321</v>
      </c>
      <c r="AO54">
        <v>-2625</v>
      </c>
      <c r="AP54">
        <v>-13591</v>
      </c>
      <c r="AQ54">
        <v>68072</v>
      </c>
      <c r="AR54">
        <v>25071</v>
      </c>
    </row>
    <row r="55" spans="1:44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>
        <v>143999</v>
      </c>
      <c r="O55">
        <v>-6785</v>
      </c>
      <c r="P55">
        <v>24199</v>
      </c>
      <c r="Q55">
        <v>-2696</v>
      </c>
      <c r="R55">
        <v>-19476</v>
      </c>
      <c r="S55">
        <v>-49301</v>
      </c>
      <c r="T55">
        <v>-24182</v>
      </c>
      <c r="U55">
        <v>-24898</v>
      </c>
      <c r="V55">
        <v>-10832</v>
      </c>
      <c r="W55">
        <v>-44305</v>
      </c>
      <c r="X55">
        <v>-47373</v>
      </c>
      <c r="Y55">
        <v>-11546</v>
      </c>
      <c r="Z55">
        <v>-13022</v>
      </c>
      <c r="AA55">
        <v>58261</v>
      </c>
      <c r="AB55">
        <v>61398</v>
      </c>
      <c r="AC55">
        <v>-92972</v>
      </c>
      <c r="AD55">
        <v>53418</v>
      </c>
      <c r="AE55">
        <v>-31582</v>
      </c>
      <c r="AF55">
        <v>31948</v>
      </c>
      <c r="AG55">
        <v>-4246</v>
      </c>
      <c r="AH55">
        <v>18851</v>
      </c>
      <c r="AI55">
        <v>16673</v>
      </c>
      <c r="AJ55">
        <v>36849</v>
      </c>
      <c r="AK55">
        <v>-9702</v>
      </c>
      <c r="AL55">
        <v>-804</v>
      </c>
      <c r="AM55">
        <v>-46384</v>
      </c>
      <c r="AN55">
        <v>26075</v>
      </c>
      <c r="AO55">
        <v>-19411</v>
      </c>
      <c r="AP55">
        <v>11795</v>
      </c>
      <c r="AQ55">
        <v>41184</v>
      </c>
      <c r="AR55">
        <v>23333</v>
      </c>
    </row>
    <row r="56" spans="1:44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>
        <v>71775</v>
      </c>
      <c r="O56">
        <v>61551</v>
      </c>
      <c r="P56">
        <v>-49683</v>
      </c>
      <c r="Q56">
        <v>97876</v>
      </c>
      <c r="R56">
        <v>-41807</v>
      </c>
      <c r="S56">
        <v>13207</v>
      </c>
      <c r="T56">
        <v>-38392</v>
      </c>
      <c r="U56">
        <v>8429</v>
      </c>
      <c r="V56">
        <v>-102814</v>
      </c>
      <c r="W56">
        <v>-175711</v>
      </c>
      <c r="X56">
        <v>75127</v>
      </c>
      <c r="Y56">
        <v>-67781</v>
      </c>
      <c r="Z56">
        <v>-44611</v>
      </c>
      <c r="AA56">
        <v>6709</v>
      </c>
      <c r="AB56">
        <v>88882</v>
      </c>
      <c r="AC56">
        <v>-62396</v>
      </c>
      <c r="AD56">
        <v>-45728</v>
      </c>
      <c r="AE56">
        <v>-11838</v>
      </c>
      <c r="AF56">
        <v>34449</v>
      </c>
      <c r="AG56">
        <v>-9532</v>
      </c>
      <c r="AH56">
        <v>-5776</v>
      </c>
      <c r="AI56">
        <v>10674</v>
      </c>
      <c r="AJ56">
        <v>-29938</v>
      </c>
      <c r="AK56">
        <v>4097</v>
      </c>
      <c r="AL56">
        <v>-95</v>
      </c>
      <c r="AM56">
        <v>-148949</v>
      </c>
      <c r="AN56">
        <v>6655</v>
      </c>
      <c r="AO56">
        <v>11009</v>
      </c>
      <c r="AP56">
        <v>-29558</v>
      </c>
      <c r="AQ56">
        <v>204</v>
      </c>
      <c r="AR56">
        <v>-35052</v>
      </c>
    </row>
    <row r="57" spans="1:44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>
        <v>83669</v>
      </c>
      <c r="O57">
        <v>66025</v>
      </c>
      <c r="P57">
        <v>-76494</v>
      </c>
      <c r="Q57">
        <v>11675</v>
      </c>
      <c r="R57">
        <v>38725</v>
      </c>
      <c r="S57">
        <v>5962</v>
      </c>
      <c r="T57">
        <v>46892</v>
      </c>
      <c r="U57">
        <v>224531</v>
      </c>
      <c r="V57">
        <v>76801</v>
      </c>
      <c r="W57">
        <v>-95571</v>
      </c>
      <c r="X57">
        <v>62275</v>
      </c>
      <c r="Y57">
        <v>-38773</v>
      </c>
      <c r="Z57">
        <v>-113858</v>
      </c>
      <c r="AA57">
        <v>57961</v>
      </c>
      <c r="AB57">
        <v>118311</v>
      </c>
      <c r="AC57">
        <v>-89809</v>
      </c>
      <c r="AD57">
        <v>50496</v>
      </c>
      <c r="AE57">
        <v>-25348</v>
      </c>
      <c r="AF57">
        <v>38157</v>
      </c>
      <c r="AG57">
        <v>13403</v>
      </c>
      <c r="AH57">
        <v>-1522</v>
      </c>
      <c r="AI57">
        <v>23908</v>
      </c>
      <c r="AJ57">
        <v>9263</v>
      </c>
      <c r="AK57">
        <v>13532</v>
      </c>
      <c r="AL57">
        <v>-55</v>
      </c>
      <c r="AM57">
        <v>-95055</v>
      </c>
      <c r="AN57">
        <v>115437</v>
      </c>
      <c r="AO57">
        <v>3948</v>
      </c>
      <c r="AP57">
        <v>2978</v>
      </c>
      <c r="AQ57">
        <v>32777</v>
      </c>
      <c r="AR57">
        <v>-57168</v>
      </c>
    </row>
    <row r="58" spans="1:44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>
        <v>-305</v>
      </c>
      <c r="O58">
        <v>-12789</v>
      </c>
      <c r="P58">
        <v>133913</v>
      </c>
      <c r="Q58">
        <v>-1178</v>
      </c>
      <c r="R58">
        <v>-8678</v>
      </c>
      <c r="S58">
        <v>-116615</v>
      </c>
      <c r="T58">
        <v>-195754</v>
      </c>
      <c r="U58">
        <v>87409</v>
      </c>
      <c r="V58">
        <v>-16457</v>
      </c>
      <c r="W58">
        <v>-146792</v>
      </c>
      <c r="X58">
        <v>-10938</v>
      </c>
      <c r="Y58">
        <v>-127882</v>
      </c>
      <c r="Z58">
        <v>11408</v>
      </c>
      <c r="AA58">
        <v>-91645</v>
      </c>
      <c r="AB58">
        <v>2712</v>
      </c>
      <c r="AC58">
        <v>2249</v>
      </c>
      <c r="AD58">
        <v>39013</v>
      </c>
      <c r="AE58">
        <v>130121</v>
      </c>
      <c r="AF58">
        <v>67143</v>
      </c>
      <c r="AG58">
        <v>-63613</v>
      </c>
      <c r="AH58">
        <v>-42668</v>
      </c>
      <c r="AI58">
        <v>637</v>
      </c>
      <c r="AJ58">
        <v>-9056</v>
      </c>
      <c r="AK58">
        <v>9636</v>
      </c>
      <c r="AL58">
        <v>5025</v>
      </c>
      <c r="AM58">
        <v>-178888</v>
      </c>
      <c r="AN58">
        <v>10953</v>
      </c>
      <c r="AO58">
        <v>-7812</v>
      </c>
      <c r="AP58">
        <v>121139</v>
      </c>
      <c r="AQ58">
        <v>-91611</v>
      </c>
      <c r="AR58">
        <v>137405</v>
      </c>
    </row>
    <row r="59" spans="1:44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>
        <v>51606</v>
      </c>
      <c r="O59">
        <v>96734</v>
      </c>
      <c r="P59">
        <v>-39296</v>
      </c>
      <c r="Q59">
        <v>55275</v>
      </c>
      <c r="R59">
        <v>-1911</v>
      </c>
      <c r="S59">
        <v>113139</v>
      </c>
      <c r="T59">
        <v>-29893</v>
      </c>
      <c r="U59">
        <v>78157</v>
      </c>
      <c r="V59">
        <v>-80018</v>
      </c>
      <c r="W59">
        <v>-39255</v>
      </c>
      <c r="X59">
        <v>-31989</v>
      </c>
      <c r="Y59">
        <v>-112655</v>
      </c>
      <c r="Z59">
        <v>-38473</v>
      </c>
      <c r="AA59">
        <v>68195</v>
      </c>
      <c r="AB59">
        <v>-10456</v>
      </c>
      <c r="AC59">
        <v>-100472</v>
      </c>
      <c r="AD59">
        <v>131091</v>
      </c>
      <c r="AE59">
        <v>45919</v>
      </c>
      <c r="AF59">
        <v>64526</v>
      </c>
      <c r="AG59">
        <v>-96105</v>
      </c>
      <c r="AH59">
        <v>-6748</v>
      </c>
      <c r="AI59">
        <v>-30462</v>
      </c>
      <c r="AJ59">
        <v>-63702</v>
      </c>
      <c r="AK59">
        <v>37908</v>
      </c>
      <c r="AL59">
        <v>4287</v>
      </c>
      <c r="AM59">
        <v>-160624</v>
      </c>
      <c r="AN59">
        <v>70594</v>
      </c>
      <c r="AO59">
        <v>43856</v>
      </c>
      <c r="AP59">
        <v>899</v>
      </c>
      <c r="AQ59">
        <v>-13669</v>
      </c>
      <c r="AR59">
        <v>-35802</v>
      </c>
    </row>
    <row r="60" spans="1:44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>
        <v>-111331</v>
      </c>
      <c r="O60">
        <v>83018</v>
      </c>
      <c r="P60">
        <v>-6371</v>
      </c>
      <c r="Q60">
        <v>-436</v>
      </c>
      <c r="R60">
        <v>218003</v>
      </c>
      <c r="S60">
        <v>79054</v>
      </c>
      <c r="T60">
        <v>-69514</v>
      </c>
      <c r="U60">
        <v>114783</v>
      </c>
      <c r="V60">
        <v>-23846</v>
      </c>
      <c r="W60">
        <v>16289</v>
      </c>
      <c r="X60">
        <v>154333</v>
      </c>
      <c r="Y60">
        <v>-142124</v>
      </c>
      <c r="Z60">
        <v>-137938</v>
      </c>
      <c r="AA60">
        <v>-5422</v>
      </c>
      <c r="AB60">
        <v>43216</v>
      </c>
      <c r="AC60">
        <v>-10551</v>
      </c>
      <c r="AD60">
        <v>729</v>
      </c>
      <c r="AE60">
        <v>77654</v>
      </c>
      <c r="AF60">
        <v>75518</v>
      </c>
      <c r="AG60">
        <v>45783</v>
      </c>
      <c r="AH60">
        <v>-36441</v>
      </c>
      <c r="AI60">
        <v>-1422</v>
      </c>
      <c r="AJ60">
        <v>-168313</v>
      </c>
      <c r="AK60">
        <v>79963</v>
      </c>
      <c r="AL60">
        <v>-1981</v>
      </c>
      <c r="AM60">
        <v>-264522</v>
      </c>
      <c r="AN60">
        <v>120395</v>
      </c>
      <c r="AO60">
        <v>40667</v>
      </c>
      <c r="AP60">
        <v>-43407</v>
      </c>
      <c r="AQ60">
        <v>90342</v>
      </c>
      <c r="AR60">
        <v>-29065</v>
      </c>
    </row>
    <row r="61" spans="1:44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>
        <v>-139671</v>
      </c>
      <c r="O61">
        <v>68332</v>
      </c>
      <c r="P61">
        <v>-107763</v>
      </c>
      <c r="Q61">
        <v>180562</v>
      </c>
      <c r="R61">
        <v>-12462</v>
      </c>
      <c r="S61">
        <v>2184</v>
      </c>
      <c r="T61">
        <v>-17688</v>
      </c>
      <c r="U61">
        <v>64938</v>
      </c>
      <c r="V61">
        <v>-19454</v>
      </c>
      <c r="W61">
        <v>-131889</v>
      </c>
      <c r="X61">
        <v>-1373</v>
      </c>
      <c r="Y61">
        <v>-238034</v>
      </c>
      <c r="Z61">
        <v>5655</v>
      </c>
      <c r="AA61">
        <v>-95387</v>
      </c>
      <c r="AB61">
        <v>-70867</v>
      </c>
      <c r="AC61">
        <v>-76455</v>
      </c>
      <c r="AD61">
        <v>82489</v>
      </c>
      <c r="AE61">
        <v>-73191</v>
      </c>
      <c r="AF61">
        <v>-62514</v>
      </c>
      <c r="AG61">
        <v>-36959</v>
      </c>
      <c r="AH61">
        <v>-13514</v>
      </c>
      <c r="AI61">
        <v>-7739</v>
      </c>
      <c r="AJ61">
        <v>-8758</v>
      </c>
      <c r="AK61">
        <v>-818</v>
      </c>
      <c r="AL61">
        <v>249</v>
      </c>
      <c r="AM61">
        <v>-33099</v>
      </c>
      <c r="AN61">
        <v>174275</v>
      </c>
      <c r="AO61">
        <v>-61704</v>
      </c>
      <c r="AP61">
        <v>75696</v>
      </c>
      <c r="AQ61">
        <v>61222</v>
      </c>
      <c r="AR61">
        <v>-51993</v>
      </c>
    </row>
    <row r="62" spans="1:44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>
        <v>46572</v>
      </c>
      <c r="O62">
        <v>-185757</v>
      </c>
      <c r="P62">
        <v>-20148</v>
      </c>
      <c r="Q62">
        <v>35539</v>
      </c>
      <c r="R62">
        <v>-168621</v>
      </c>
      <c r="S62">
        <v>14662</v>
      </c>
      <c r="T62">
        <v>-25126</v>
      </c>
      <c r="U62">
        <v>78678</v>
      </c>
      <c r="V62">
        <v>-23796</v>
      </c>
      <c r="W62">
        <v>-1787</v>
      </c>
      <c r="X62">
        <v>-125852</v>
      </c>
      <c r="Y62">
        <v>-160672</v>
      </c>
      <c r="Z62">
        <v>-35123</v>
      </c>
      <c r="AA62">
        <v>91622</v>
      </c>
      <c r="AB62">
        <v>-77787</v>
      </c>
      <c r="AC62">
        <v>111833</v>
      </c>
      <c r="AD62">
        <v>18659</v>
      </c>
      <c r="AE62">
        <v>-219849</v>
      </c>
      <c r="AF62">
        <v>-55324</v>
      </c>
      <c r="AG62">
        <v>99142</v>
      </c>
      <c r="AH62">
        <v>-95653</v>
      </c>
      <c r="AI62">
        <v>-6221</v>
      </c>
      <c r="AJ62">
        <v>47823</v>
      </c>
      <c r="AK62">
        <v>-26305</v>
      </c>
      <c r="AL62">
        <v>-4006</v>
      </c>
      <c r="AM62">
        <v>-4234</v>
      </c>
      <c r="AN62">
        <v>-170024</v>
      </c>
      <c r="AO62">
        <v>237382</v>
      </c>
      <c r="AP62">
        <v>-45823</v>
      </c>
      <c r="AQ62">
        <v>-36797</v>
      </c>
      <c r="AR62">
        <v>17366</v>
      </c>
    </row>
    <row r="63" spans="1:44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>
        <v>-70317</v>
      </c>
      <c r="O63">
        <v>6795</v>
      </c>
      <c r="P63">
        <v>-103038</v>
      </c>
      <c r="Q63">
        <v>158294</v>
      </c>
      <c r="R63">
        <v>92466</v>
      </c>
      <c r="S63">
        <v>-71248</v>
      </c>
      <c r="T63">
        <v>128559</v>
      </c>
      <c r="U63">
        <v>224816</v>
      </c>
      <c r="V63">
        <v>-21481</v>
      </c>
      <c r="W63">
        <v>-79285</v>
      </c>
      <c r="X63">
        <v>142038</v>
      </c>
      <c r="Y63">
        <v>-187346</v>
      </c>
      <c r="Z63">
        <v>-189601</v>
      </c>
      <c r="AA63">
        <v>85216</v>
      </c>
      <c r="AB63">
        <v>-105552</v>
      </c>
      <c r="AC63">
        <v>109985</v>
      </c>
      <c r="AD63">
        <v>78889</v>
      </c>
      <c r="AE63">
        <v>-1387</v>
      </c>
      <c r="AF63">
        <v>331</v>
      </c>
      <c r="AG63">
        <v>-3524</v>
      </c>
      <c r="AH63">
        <v>-12313</v>
      </c>
      <c r="AI63">
        <v>13868</v>
      </c>
      <c r="AJ63">
        <v>-54807</v>
      </c>
      <c r="AK63">
        <v>36245</v>
      </c>
      <c r="AL63">
        <v>-928</v>
      </c>
      <c r="AM63">
        <v>-18622</v>
      </c>
      <c r="AN63">
        <v>46592</v>
      </c>
      <c r="AO63">
        <v>174201</v>
      </c>
      <c r="AP63">
        <v>3332</v>
      </c>
      <c r="AQ63">
        <v>-120321</v>
      </c>
      <c r="AR63">
        <v>8053</v>
      </c>
    </row>
    <row r="64" spans="1:44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>
        <v>-1754</v>
      </c>
      <c r="O64">
        <v>182764</v>
      </c>
      <c r="P64">
        <v>211</v>
      </c>
      <c r="Q64">
        <v>-117</v>
      </c>
      <c r="R64">
        <v>-116471</v>
      </c>
      <c r="S64">
        <v>-5068</v>
      </c>
      <c r="T64">
        <v>-9033</v>
      </c>
      <c r="U64">
        <v>-67171</v>
      </c>
      <c r="V64">
        <v>66859</v>
      </c>
      <c r="W64">
        <v>89634</v>
      </c>
      <c r="X64">
        <v>-37376</v>
      </c>
      <c r="Y64">
        <v>-270485</v>
      </c>
      <c r="Z64">
        <v>-13876</v>
      </c>
      <c r="AA64">
        <v>109657</v>
      </c>
      <c r="AB64">
        <v>52191</v>
      </c>
      <c r="AC64">
        <v>-92665</v>
      </c>
      <c r="AD64">
        <v>20173</v>
      </c>
      <c r="AE64">
        <v>11645</v>
      </c>
      <c r="AF64">
        <v>31783</v>
      </c>
      <c r="AG64">
        <v>-31705</v>
      </c>
      <c r="AH64">
        <v>34302</v>
      </c>
      <c r="AI64">
        <v>31448</v>
      </c>
      <c r="AJ64">
        <v>29409</v>
      </c>
      <c r="AK64">
        <v>10432</v>
      </c>
      <c r="AL64">
        <v>4121</v>
      </c>
      <c r="AM64">
        <v>10387</v>
      </c>
      <c r="AN64">
        <v>16455</v>
      </c>
      <c r="AO64">
        <v>-19394</v>
      </c>
      <c r="AP64">
        <v>9898</v>
      </c>
      <c r="AQ64">
        <v>-68533</v>
      </c>
      <c r="AR64">
        <v>130704</v>
      </c>
    </row>
    <row r="65" spans="1:44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>
        <v>-236213</v>
      </c>
      <c r="O65">
        <v>1718</v>
      </c>
      <c r="P65">
        <v>25189</v>
      </c>
      <c r="Q65">
        <v>20262</v>
      </c>
      <c r="R65">
        <v>-108673</v>
      </c>
      <c r="S65">
        <v>-62857</v>
      </c>
      <c r="T65">
        <v>-72089</v>
      </c>
      <c r="U65">
        <v>-101306</v>
      </c>
      <c r="V65">
        <v>11584</v>
      </c>
      <c r="W65">
        <v>24457</v>
      </c>
      <c r="X65">
        <v>74597</v>
      </c>
      <c r="Y65">
        <v>-279134</v>
      </c>
      <c r="Z65">
        <v>5085</v>
      </c>
      <c r="AA65">
        <v>121784</v>
      </c>
      <c r="AB65">
        <v>26774</v>
      </c>
      <c r="AC65">
        <v>-21646</v>
      </c>
      <c r="AD65">
        <v>-37035</v>
      </c>
      <c r="AE65">
        <v>15646</v>
      </c>
      <c r="AF65">
        <v>19047</v>
      </c>
      <c r="AG65">
        <v>-44544</v>
      </c>
      <c r="AH65">
        <v>25228</v>
      </c>
      <c r="AI65">
        <v>16304</v>
      </c>
      <c r="AJ65">
        <v>-1295</v>
      </c>
      <c r="AK65">
        <v>5385</v>
      </c>
      <c r="AL65">
        <v>1847</v>
      </c>
      <c r="AM65">
        <v>72175</v>
      </c>
      <c r="AN65">
        <v>30223</v>
      </c>
      <c r="AO65">
        <v>-40699</v>
      </c>
      <c r="AP65">
        <v>75098</v>
      </c>
      <c r="AQ65">
        <v>-60521</v>
      </c>
      <c r="AR65">
        <v>103966</v>
      </c>
    </row>
    <row r="66" spans="1:44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>
        <v>-195372</v>
      </c>
      <c r="O66">
        <v>177728</v>
      </c>
      <c r="P66">
        <v>21321</v>
      </c>
      <c r="Q66">
        <v>-20066</v>
      </c>
      <c r="R66">
        <v>-79295</v>
      </c>
      <c r="S66">
        <v>22174</v>
      </c>
      <c r="T66">
        <v>-49167</v>
      </c>
      <c r="U66">
        <v>-91418</v>
      </c>
      <c r="V66">
        <v>5927</v>
      </c>
      <c r="W66">
        <v>107931</v>
      </c>
      <c r="X66">
        <v>-3412</v>
      </c>
      <c r="Y66">
        <v>-250675</v>
      </c>
      <c r="Z66">
        <v>7307</v>
      </c>
      <c r="AA66">
        <v>148721</v>
      </c>
      <c r="AB66">
        <v>24833</v>
      </c>
      <c r="AC66">
        <v>-73552</v>
      </c>
      <c r="AD66">
        <v>44183</v>
      </c>
      <c r="AE66">
        <v>-21584</v>
      </c>
      <c r="AF66">
        <v>12489</v>
      </c>
      <c r="AG66">
        <v>-62742</v>
      </c>
      <c r="AH66">
        <v>3861</v>
      </c>
      <c r="AI66">
        <v>27002</v>
      </c>
      <c r="AJ66">
        <v>-3859</v>
      </c>
      <c r="AK66">
        <v>5837</v>
      </c>
      <c r="AL66">
        <v>2947</v>
      </c>
      <c r="AM66">
        <v>73304</v>
      </c>
      <c r="AN66">
        <v>20191</v>
      </c>
      <c r="AO66">
        <v>-31344</v>
      </c>
      <c r="AP66">
        <v>100223</v>
      </c>
      <c r="AQ66">
        <v>-84126</v>
      </c>
      <c r="AR66">
        <v>107181</v>
      </c>
    </row>
    <row r="67" spans="1:44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>
        <v>-403959</v>
      </c>
      <c r="O67">
        <v>-33078</v>
      </c>
      <c r="P67">
        <v>-9243</v>
      </c>
      <c r="Q67">
        <v>-16857</v>
      </c>
      <c r="R67">
        <v>228175</v>
      </c>
      <c r="S67">
        <v>-38086</v>
      </c>
      <c r="T67">
        <v>1049</v>
      </c>
      <c r="U67">
        <v>7876</v>
      </c>
      <c r="V67">
        <v>-23728</v>
      </c>
      <c r="W67">
        <v>112782</v>
      </c>
      <c r="X67">
        <v>12296</v>
      </c>
      <c r="Y67">
        <v>-254041</v>
      </c>
      <c r="Z67">
        <v>-51685</v>
      </c>
      <c r="AA67">
        <v>-29766</v>
      </c>
      <c r="AB67">
        <v>-30781</v>
      </c>
      <c r="AC67">
        <v>-3233</v>
      </c>
      <c r="AD67">
        <v>-52447</v>
      </c>
      <c r="AE67">
        <v>-42881</v>
      </c>
      <c r="AF67">
        <v>-39906</v>
      </c>
      <c r="AG67">
        <v>87377</v>
      </c>
      <c r="AH67">
        <v>-15689</v>
      </c>
      <c r="AI67">
        <v>28429</v>
      </c>
      <c r="AJ67">
        <v>-172944</v>
      </c>
      <c r="AK67">
        <v>36511</v>
      </c>
      <c r="AL67">
        <v>-3217</v>
      </c>
      <c r="AM67">
        <v>-27876</v>
      </c>
      <c r="AN67">
        <v>175327</v>
      </c>
      <c r="AO67">
        <v>-106038</v>
      </c>
      <c r="AP67">
        <v>101373</v>
      </c>
      <c r="AQ67">
        <v>18345</v>
      </c>
      <c r="AR67">
        <v>-8431</v>
      </c>
    </row>
    <row r="68" spans="1:44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>
        <v>-1923</v>
      </c>
      <c r="O68">
        <v>33744</v>
      </c>
      <c r="P68">
        <v>201729</v>
      </c>
      <c r="Q68">
        <v>-174092</v>
      </c>
      <c r="R68">
        <v>-11657</v>
      </c>
      <c r="S68">
        <v>-3054</v>
      </c>
      <c r="T68">
        <v>-55248</v>
      </c>
      <c r="U68">
        <v>1072</v>
      </c>
      <c r="V68">
        <v>208328</v>
      </c>
      <c r="W68">
        <v>-55436</v>
      </c>
      <c r="X68">
        <v>185769</v>
      </c>
      <c r="Y68">
        <v>-140234</v>
      </c>
      <c r="Z68">
        <v>56895</v>
      </c>
      <c r="AA68">
        <v>-81138</v>
      </c>
      <c r="AB68">
        <v>31096</v>
      </c>
      <c r="AC68">
        <v>121573</v>
      </c>
      <c r="AD68">
        <v>33531</v>
      </c>
      <c r="AE68">
        <v>8543</v>
      </c>
      <c r="AF68">
        <v>3407</v>
      </c>
      <c r="AG68">
        <v>-5226</v>
      </c>
      <c r="AH68">
        <v>-87162</v>
      </c>
      <c r="AI68">
        <v>-115131</v>
      </c>
      <c r="AJ68">
        <v>-39898</v>
      </c>
      <c r="AK68">
        <v>-63694</v>
      </c>
      <c r="AL68">
        <v>2079</v>
      </c>
      <c r="AM68">
        <v>-248271</v>
      </c>
      <c r="AN68">
        <v>15018</v>
      </c>
      <c r="AO68">
        <v>3826</v>
      </c>
      <c r="AP68">
        <v>339069</v>
      </c>
      <c r="AQ68">
        <v>-184732</v>
      </c>
      <c r="AR68">
        <v>96756</v>
      </c>
    </row>
    <row r="69" spans="1:44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>
        <v>-534561</v>
      </c>
      <c r="O69">
        <v>127444</v>
      </c>
      <c r="P69">
        <v>-854</v>
      </c>
      <c r="Q69">
        <v>-2553</v>
      </c>
      <c r="R69">
        <v>92117</v>
      </c>
      <c r="S69">
        <v>-31084</v>
      </c>
      <c r="T69">
        <v>-70212</v>
      </c>
      <c r="U69">
        <v>-19258</v>
      </c>
      <c r="V69">
        <v>146405</v>
      </c>
      <c r="W69">
        <v>12426</v>
      </c>
      <c r="X69">
        <v>119844</v>
      </c>
      <c r="Y69">
        <v>-1512</v>
      </c>
      <c r="Z69">
        <v>-189666</v>
      </c>
      <c r="AA69">
        <v>-40896</v>
      </c>
      <c r="AB69">
        <v>295627</v>
      </c>
      <c r="AC69">
        <v>-61998</v>
      </c>
      <c r="AD69">
        <v>-168447</v>
      </c>
      <c r="AE69">
        <v>34238</v>
      </c>
      <c r="AF69">
        <v>-214101</v>
      </c>
      <c r="AG69">
        <v>-73382</v>
      </c>
      <c r="AH69">
        <v>102913</v>
      </c>
      <c r="AI69">
        <v>-102027</v>
      </c>
      <c r="AJ69">
        <v>-22356</v>
      </c>
      <c r="AK69">
        <v>88442</v>
      </c>
      <c r="AL69">
        <v>-5417</v>
      </c>
      <c r="AM69">
        <v>-64614</v>
      </c>
      <c r="AN69">
        <v>-115762</v>
      </c>
      <c r="AO69">
        <v>-22485</v>
      </c>
      <c r="AP69">
        <v>63251</v>
      </c>
      <c r="AQ69">
        <v>71693</v>
      </c>
      <c r="AR69">
        <v>151084</v>
      </c>
    </row>
    <row r="70" spans="1:44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>
        <v>-155968</v>
      </c>
      <c r="O70">
        <v>-200462</v>
      </c>
      <c r="P70">
        <v>103718</v>
      </c>
      <c r="Q70">
        <v>-92743</v>
      </c>
      <c r="R70">
        <v>-110943</v>
      </c>
      <c r="S70">
        <v>170449</v>
      </c>
      <c r="T70">
        <v>-110895</v>
      </c>
      <c r="U70">
        <v>-43137</v>
      </c>
      <c r="V70">
        <v>49203</v>
      </c>
      <c r="W70">
        <v>-52713</v>
      </c>
      <c r="X70">
        <v>-34181</v>
      </c>
      <c r="Y70">
        <v>-286531</v>
      </c>
      <c r="Z70">
        <v>-18311</v>
      </c>
      <c r="AA70">
        <v>-128306</v>
      </c>
      <c r="AB70">
        <v>-29512</v>
      </c>
      <c r="AC70">
        <v>-77283</v>
      </c>
      <c r="AD70">
        <v>126362</v>
      </c>
      <c r="AE70">
        <v>-63094</v>
      </c>
      <c r="AF70">
        <v>102494</v>
      </c>
      <c r="AG70">
        <v>18358</v>
      </c>
      <c r="AH70">
        <v>93235</v>
      </c>
      <c r="AI70">
        <v>-4096</v>
      </c>
      <c r="AJ70">
        <v>-1725</v>
      </c>
      <c r="AK70">
        <v>-16584</v>
      </c>
      <c r="AL70">
        <v>-2802</v>
      </c>
      <c r="AM70">
        <v>252078</v>
      </c>
      <c r="AN70">
        <v>-229852</v>
      </c>
      <c r="AO70">
        <v>275895</v>
      </c>
      <c r="AP70">
        <v>-102944</v>
      </c>
      <c r="AQ70">
        <v>44547</v>
      </c>
      <c r="AR70">
        <v>-130048</v>
      </c>
    </row>
    <row r="71" spans="1:44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>
        <v>-245838</v>
      </c>
      <c r="O71">
        <v>-126821</v>
      </c>
      <c r="P71">
        <v>3998</v>
      </c>
      <c r="Q71">
        <v>-51227</v>
      </c>
      <c r="R71">
        <v>61224</v>
      </c>
      <c r="S71">
        <v>-180964</v>
      </c>
      <c r="T71">
        <v>53105</v>
      </c>
      <c r="U71">
        <v>-103566</v>
      </c>
      <c r="V71">
        <v>345655</v>
      </c>
      <c r="W71">
        <v>-53851</v>
      </c>
      <c r="X71">
        <v>7682</v>
      </c>
      <c r="Y71">
        <v>-151023</v>
      </c>
      <c r="Z71">
        <v>228933</v>
      </c>
      <c r="AA71">
        <v>1305</v>
      </c>
      <c r="AB71">
        <v>1546</v>
      </c>
      <c r="AC71">
        <v>-46668</v>
      </c>
      <c r="AD71">
        <v>65872</v>
      </c>
      <c r="AE71">
        <v>91914</v>
      </c>
      <c r="AF71">
        <v>94244</v>
      </c>
      <c r="AG71">
        <v>-82729</v>
      </c>
      <c r="AH71">
        <v>70626</v>
      </c>
      <c r="AI71">
        <v>-10421</v>
      </c>
      <c r="AJ71">
        <v>-171192</v>
      </c>
      <c r="AK71">
        <v>-25013</v>
      </c>
      <c r="AL71">
        <v>-3074</v>
      </c>
      <c r="AM71">
        <v>-24322</v>
      </c>
      <c r="AN71">
        <v>32373</v>
      </c>
      <c r="AO71">
        <v>172442</v>
      </c>
      <c r="AP71">
        <v>-223186</v>
      </c>
      <c r="AQ71">
        <v>-29015</v>
      </c>
      <c r="AR71">
        <v>-326295</v>
      </c>
    </row>
    <row r="72" spans="1:44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>
        <v>-146005</v>
      </c>
      <c r="O72">
        <v>-137608</v>
      </c>
      <c r="P72">
        <v>150866</v>
      </c>
      <c r="Q72">
        <v>6593</v>
      </c>
      <c r="R72">
        <v>41965</v>
      </c>
      <c r="S72">
        <v>-79962</v>
      </c>
      <c r="T72">
        <v>89259</v>
      </c>
      <c r="U72">
        <v>-95505</v>
      </c>
      <c r="V72">
        <v>3054</v>
      </c>
      <c r="W72">
        <v>-141905</v>
      </c>
      <c r="X72">
        <v>113261</v>
      </c>
      <c r="Y72">
        <v>-213048</v>
      </c>
      <c r="Z72">
        <v>173283</v>
      </c>
      <c r="AA72">
        <v>-406</v>
      </c>
      <c r="AB72">
        <v>58161</v>
      </c>
      <c r="AC72">
        <v>-172474</v>
      </c>
      <c r="AD72">
        <v>-5293</v>
      </c>
      <c r="AE72">
        <v>122915</v>
      </c>
      <c r="AF72">
        <v>196584</v>
      </c>
      <c r="AG72">
        <v>-58173</v>
      </c>
      <c r="AH72">
        <v>31607</v>
      </c>
      <c r="AI72">
        <v>-13312</v>
      </c>
      <c r="AJ72">
        <v>-22645</v>
      </c>
      <c r="AK72">
        <v>938</v>
      </c>
      <c r="AL72">
        <v>2276</v>
      </c>
      <c r="AM72">
        <v>111067</v>
      </c>
      <c r="AN72">
        <v>-139268</v>
      </c>
      <c r="AO72">
        <v>159259</v>
      </c>
      <c r="AP72">
        <v>-85004</v>
      </c>
      <c r="AQ72">
        <v>283</v>
      </c>
      <c r="AR72">
        <v>-79603</v>
      </c>
    </row>
    <row r="73" spans="1:44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>
        <v>-444338</v>
      </c>
      <c r="O73">
        <v>187889</v>
      </c>
      <c r="P73">
        <v>-91017</v>
      </c>
      <c r="Q73">
        <v>-100726</v>
      </c>
      <c r="R73">
        <v>-63099</v>
      </c>
      <c r="S73">
        <v>-20714</v>
      </c>
      <c r="T73">
        <v>-24334</v>
      </c>
      <c r="U73">
        <v>18854</v>
      </c>
      <c r="V73">
        <v>231884</v>
      </c>
      <c r="W73">
        <v>376097</v>
      </c>
      <c r="X73">
        <v>68761</v>
      </c>
      <c r="Y73">
        <v>-150868</v>
      </c>
      <c r="Z73">
        <v>81272</v>
      </c>
      <c r="AA73">
        <v>-158136</v>
      </c>
      <c r="AB73">
        <v>6886</v>
      </c>
      <c r="AC73">
        <v>119056</v>
      </c>
      <c r="AD73">
        <v>-44467</v>
      </c>
      <c r="AE73">
        <v>-20198</v>
      </c>
      <c r="AF73">
        <v>119187</v>
      </c>
      <c r="AG73">
        <v>37414</v>
      </c>
      <c r="AH73">
        <v>-55708</v>
      </c>
      <c r="AI73">
        <v>154412</v>
      </c>
      <c r="AJ73">
        <v>-181274</v>
      </c>
      <c r="AK73">
        <v>-61833</v>
      </c>
      <c r="AL73">
        <v>-6063</v>
      </c>
      <c r="AM73">
        <v>-122776</v>
      </c>
      <c r="AN73">
        <v>9148</v>
      </c>
      <c r="AO73">
        <v>-172073</v>
      </c>
      <c r="AP73">
        <v>-242708</v>
      </c>
      <c r="AQ73">
        <v>-59329</v>
      </c>
      <c r="AR73">
        <v>-102685</v>
      </c>
    </row>
    <row r="74" spans="1:44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>
        <v>-340268</v>
      </c>
      <c r="O74">
        <v>121814</v>
      </c>
      <c r="P74">
        <v>-17589</v>
      </c>
      <c r="Q74">
        <v>-17025</v>
      </c>
      <c r="R74">
        <v>-183061</v>
      </c>
      <c r="S74">
        <v>-13699</v>
      </c>
      <c r="T74">
        <v>25599</v>
      </c>
      <c r="U74">
        <v>66252</v>
      </c>
      <c r="V74">
        <v>-10839</v>
      </c>
      <c r="W74">
        <v>242809</v>
      </c>
      <c r="X74">
        <v>8898</v>
      </c>
      <c r="Y74">
        <v>43446</v>
      </c>
      <c r="Z74">
        <v>7926</v>
      </c>
      <c r="AA74">
        <v>23481</v>
      </c>
      <c r="AB74">
        <v>137519</v>
      </c>
      <c r="AC74">
        <v>-12524</v>
      </c>
      <c r="AD74">
        <v>45027</v>
      </c>
      <c r="AE74">
        <v>-209521</v>
      </c>
      <c r="AF74">
        <v>151601</v>
      </c>
      <c r="AG74">
        <v>-104438</v>
      </c>
      <c r="AH74">
        <v>109622</v>
      </c>
      <c r="AI74">
        <v>-45908</v>
      </c>
      <c r="AJ74">
        <v>47822</v>
      </c>
      <c r="AK74">
        <v>32005</v>
      </c>
      <c r="AL74">
        <v>-207</v>
      </c>
      <c r="AM74">
        <v>70954</v>
      </c>
      <c r="AN74">
        <v>-195553</v>
      </c>
      <c r="AO74">
        <v>-271882</v>
      </c>
      <c r="AP74">
        <v>-46672</v>
      </c>
      <c r="AQ74">
        <v>-16363</v>
      </c>
      <c r="AR74">
        <v>61335</v>
      </c>
    </row>
    <row r="75" spans="1:44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>
        <v>-444459</v>
      </c>
      <c r="O75">
        <v>159246</v>
      </c>
      <c r="P75">
        <v>158661</v>
      </c>
      <c r="Q75">
        <v>-200649</v>
      </c>
      <c r="R75">
        <v>-113202</v>
      </c>
      <c r="S75">
        <v>-215481</v>
      </c>
      <c r="T75">
        <v>12039</v>
      </c>
      <c r="U75">
        <v>20166</v>
      </c>
      <c r="V75">
        <v>-347228</v>
      </c>
      <c r="W75">
        <v>-147</v>
      </c>
      <c r="X75">
        <v>-92339</v>
      </c>
      <c r="Y75">
        <v>143105</v>
      </c>
      <c r="Z75">
        <v>151592</v>
      </c>
      <c r="AA75">
        <v>29051</v>
      </c>
      <c r="AB75">
        <v>278517</v>
      </c>
      <c r="AC75">
        <v>216063</v>
      </c>
      <c r="AD75">
        <v>152382</v>
      </c>
      <c r="AE75">
        <v>-149571</v>
      </c>
      <c r="AF75">
        <v>80209</v>
      </c>
      <c r="AG75">
        <v>-25855</v>
      </c>
      <c r="AH75">
        <v>66421</v>
      </c>
      <c r="AI75">
        <v>-101238</v>
      </c>
      <c r="AJ75">
        <v>41113</v>
      </c>
      <c r="AK75">
        <v>26623</v>
      </c>
      <c r="AL75">
        <v>49491</v>
      </c>
      <c r="AM75">
        <v>150631</v>
      </c>
      <c r="AN75">
        <v>-10153</v>
      </c>
      <c r="AO75">
        <v>-80014</v>
      </c>
      <c r="AP75">
        <v>-333911</v>
      </c>
      <c r="AQ75">
        <v>-2088</v>
      </c>
      <c r="AR75">
        <v>149997</v>
      </c>
    </row>
    <row r="76" spans="1:44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>
        <v>-320296</v>
      </c>
      <c r="O76">
        <v>12685</v>
      </c>
      <c r="P76">
        <v>-17811</v>
      </c>
      <c r="Q76">
        <v>-8659</v>
      </c>
      <c r="R76">
        <v>-220238</v>
      </c>
      <c r="S76">
        <v>-40941</v>
      </c>
      <c r="T76">
        <v>65733</v>
      </c>
      <c r="U76">
        <v>90499</v>
      </c>
      <c r="V76">
        <v>-3249</v>
      </c>
      <c r="W76">
        <v>224511</v>
      </c>
      <c r="X76">
        <v>5642</v>
      </c>
      <c r="Y76">
        <v>23636</v>
      </c>
      <c r="Z76">
        <v>58077</v>
      </c>
      <c r="AA76">
        <v>-15584</v>
      </c>
      <c r="AB76">
        <v>164877</v>
      </c>
      <c r="AC76">
        <v>-31638</v>
      </c>
      <c r="AD76">
        <v>21017</v>
      </c>
      <c r="AE76">
        <v>-176292</v>
      </c>
      <c r="AF76">
        <v>170894</v>
      </c>
      <c r="AG76">
        <v>-73402</v>
      </c>
      <c r="AH76">
        <v>105315</v>
      </c>
      <c r="AI76">
        <v>-41462</v>
      </c>
      <c r="AJ76">
        <v>81089</v>
      </c>
      <c r="AK76">
        <v>36601</v>
      </c>
      <c r="AL76">
        <v>967</v>
      </c>
      <c r="AM76">
        <v>101519</v>
      </c>
      <c r="AN76">
        <v>-199288</v>
      </c>
      <c r="AO76">
        <v>-259933</v>
      </c>
      <c r="AP76">
        <v>-47914</v>
      </c>
      <c r="AQ76">
        <v>-148036</v>
      </c>
      <c r="AR76">
        <v>84858</v>
      </c>
    </row>
    <row r="77" spans="1:44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>
        <v>-537015</v>
      </c>
      <c r="O77">
        <v>51612</v>
      </c>
      <c r="P77">
        <v>36718</v>
      </c>
      <c r="Q77">
        <v>29701</v>
      </c>
      <c r="R77">
        <v>-233185</v>
      </c>
      <c r="S77">
        <v>-101728</v>
      </c>
      <c r="T77">
        <v>79297</v>
      </c>
      <c r="U77">
        <v>-39747</v>
      </c>
      <c r="V77">
        <v>-155312</v>
      </c>
      <c r="W77">
        <v>989</v>
      </c>
      <c r="X77">
        <v>96042</v>
      </c>
      <c r="Y77">
        <v>48284</v>
      </c>
      <c r="Z77">
        <v>10286</v>
      </c>
      <c r="AA77">
        <v>31014</v>
      </c>
      <c r="AB77">
        <v>134229</v>
      </c>
      <c r="AC77">
        <v>20512</v>
      </c>
      <c r="AD77">
        <v>140674</v>
      </c>
      <c r="AE77">
        <v>117256</v>
      </c>
      <c r="AF77">
        <v>-5489</v>
      </c>
      <c r="AG77">
        <v>48297</v>
      </c>
      <c r="AH77">
        <v>-15638</v>
      </c>
      <c r="AI77">
        <v>2205</v>
      </c>
      <c r="AJ77">
        <v>33732</v>
      </c>
      <c r="AK77">
        <v>-4863</v>
      </c>
      <c r="AL77">
        <v>7536</v>
      </c>
      <c r="AM77">
        <v>-266003</v>
      </c>
      <c r="AN77">
        <v>-395352</v>
      </c>
      <c r="AO77">
        <v>-77878</v>
      </c>
      <c r="AP77">
        <v>202785</v>
      </c>
      <c r="AQ77">
        <v>54252</v>
      </c>
      <c r="AR77">
        <v>-188027</v>
      </c>
    </row>
    <row r="78" spans="1:44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>
        <v>-584742</v>
      </c>
      <c r="O78">
        <v>60252</v>
      </c>
      <c r="P78">
        <v>14786</v>
      </c>
      <c r="Q78">
        <v>-108268</v>
      </c>
      <c r="R78">
        <v>192101</v>
      </c>
      <c r="S78">
        <v>34478</v>
      </c>
      <c r="T78">
        <v>153156</v>
      </c>
      <c r="U78">
        <v>210349</v>
      </c>
      <c r="V78">
        <v>-50054</v>
      </c>
      <c r="W78">
        <v>-223128</v>
      </c>
      <c r="X78">
        <v>-162753</v>
      </c>
      <c r="Y78">
        <v>60116</v>
      </c>
      <c r="Z78">
        <v>-222976</v>
      </c>
      <c r="AA78">
        <v>-65331</v>
      </c>
      <c r="AB78">
        <v>-75499</v>
      </c>
      <c r="AC78">
        <v>72435</v>
      </c>
      <c r="AD78">
        <v>-4146</v>
      </c>
      <c r="AE78">
        <v>-3238</v>
      </c>
      <c r="AF78">
        <v>-4838</v>
      </c>
      <c r="AG78">
        <v>40572</v>
      </c>
      <c r="AH78">
        <v>-26461</v>
      </c>
      <c r="AI78">
        <v>-38827</v>
      </c>
      <c r="AJ78">
        <v>-108306</v>
      </c>
      <c r="AK78">
        <v>17582</v>
      </c>
      <c r="AL78">
        <v>-679</v>
      </c>
      <c r="AM78">
        <v>168567</v>
      </c>
      <c r="AN78">
        <v>-1968</v>
      </c>
      <c r="AO78">
        <v>-766961</v>
      </c>
      <c r="AP78">
        <v>-81126</v>
      </c>
      <c r="AQ78">
        <v>-378214</v>
      </c>
      <c r="AR78">
        <v>-403493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7937C8-2842-4245-B153-DC9741D20E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Original</vt:lpstr>
      <vt:lpstr>Model</vt:lpstr>
      <vt:lpstr>Ensamble</vt:lpstr>
      <vt:lpstr>RegresionLogistica</vt:lpstr>
      <vt:lpstr>Deepnet</vt:lpstr>
      <vt:lpstr>Optiml</vt:lpstr>
      <vt:lpstr>Cluster</vt:lpstr>
      <vt:lpstr>Anomaly</vt:lpstr>
      <vt:lpstr>Asociacion</vt:lpstr>
      <vt:lpstr>PCA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</dc:creator>
  <cp:lastModifiedBy>Andrei Miu</cp:lastModifiedBy>
  <dcterms:created xsi:type="dcterms:W3CDTF">2025-04-15T21:03:33Z</dcterms:created>
  <dcterms:modified xsi:type="dcterms:W3CDTF">2025-04-22T08:32:32Z</dcterms:modified>
</cp:coreProperties>
</file>